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A728F151-9150-4157-8342-D21E14E4BBB8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MEP" sheetId="8" r:id="rId1"/>
    <sheet name="bess" sheetId="10" r:id="rId2"/>
    <sheet name="结构数据" sheetId="9" r:id="rId3"/>
    <sheet name="NOCV" sheetId="3" r:id="rId4"/>
    <sheet name="AIM" sheetId="7" r:id="rId5"/>
    <sheet name="NBO" sheetId="6" r:id="rId6"/>
    <sheet name="EDA" sheetId="5" r:id="rId7"/>
    <sheet name="NBO主表" sheetId="11" r:id="rId8"/>
    <sheet name="编号对照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9" l="1"/>
  <c r="G57" i="9"/>
  <c r="H56" i="9"/>
  <c r="G56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</calcChain>
</file>

<file path=xl/sharedStrings.xml><?xml version="1.0" encoding="utf-8"?>
<sst xmlns="http://schemas.openxmlformats.org/spreadsheetml/2006/main" count="1051" uniqueCount="268">
  <si>
    <r>
      <t>V</t>
    </r>
    <r>
      <rPr>
        <sz val="11"/>
        <color theme="1"/>
        <rFont val="Calibri"/>
        <family val="3"/>
        <scheme val="minor"/>
      </rPr>
      <t>surf</t>
    </r>
    <r>
      <rPr>
        <sz val="11"/>
        <color theme="1"/>
        <rFont val="Calibri"/>
        <family val="3"/>
        <scheme val="minor"/>
      </rPr>
      <t>s，min</t>
    </r>
  </si>
  <si>
    <t>体系</t>
  </si>
  <si>
    <t>Eint  kcal/mole</t>
  </si>
  <si>
    <t>Eb Kcal/mol</t>
  </si>
  <si>
    <t>作用端</t>
  </si>
  <si>
    <t>r(C–H)</t>
  </si>
  <si>
    <t>r(C–Cl)</t>
  </si>
  <si>
    <t>r(O–H)</t>
  </si>
  <si>
    <t>r(O–Cl)</t>
  </si>
  <si>
    <t>Δr(O–H)</t>
  </si>
  <si>
    <t>Δr(O–Cl)</t>
  </si>
  <si>
    <t>结合角</t>
  </si>
  <si>
    <t xml:space="preserve">WBI(C-H) </t>
  </si>
  <si>
    <t xml:space="preserve">  WBI(C-Cl)</t>
  </si>
  <si>
    <t xml:space="preserve">WBI(O-H) </t>
  </si>
  <si>
    <t xml:space="preserve"> WBI(O-Cl)</t>
  </si>
  <si>
    <t>HOCl</t>
  </si>
  <si>
    <t xml:space="preserve"> Energy</t>
  </si>
  <si>
    <t>ρ</t>
  </si>
  <si>
    <t>H</t>
  </si>
  <si>
    <r>
      <rPr>
        <sz val="24"/>
        <color rgb="FF000000"/>
        <rFont val="Segoe UI Symbol"/>
        <family val="3"/>
      </rPr>
      <t>▽</t>
    </r>
    <r>
      <rPr>
        <sz val="24"/>
        <color rgb="FF000000"/>
        <rFont val="仿宋"/>
        <family val="3"/>
      </rPr>
      <t>2</t>
    </r>
    <r>
      <rPr>
        <sz val="24"/>
        <color rgb="FF000000"/>
        <rFont val="Calibri"/>
        <family val="3"/>
      </rPr>
      <t>ρ</t>
    </r>
  </si>
  <si>
    <r>
      <rPr>
        <sz val="24"/>
        <color rgb="FF000000"/>
        <rFont val="Calibri"/>
        <family val="3"/>
      </rPr>
      <t>ρ</t>
    </r>
    <r>
      <rPr>
        <sz val="24"/>
        <color rgb="FF000000"/>
        <rFont val="仿宋"/>
        <family val="3"/>
      </rPr>
      <t>（电子密度）</t>
    </r>
  </si>
  <si>
    <r>
      <t>H</t>
    </r>
    <r>
      <rPr>
        <sz val="24"/>
        <color rgb="FF000000"/>
        <rFont val="宋体"/>
        <family val="3"/>
      </rPr>
      <t>总能量</t>
    </r>
  </si>
  <si>
    <r>
      <rPr>
        <sz val="24"/>
        <color rgb="FF000000"/>
        <rFont val="Segoe UI Symbol"/>
        <family val="3"/>
      </rPr>
      <t>▽</t>
    </r>
    <r>
      <rPr>
        <sz val="24"/>
        <color rgb="FF000000"/>
        <rFont val="仿宋"/>
        <family val="3"/>
      </rPr>
      <t>2</t>
    </r>
    <r>
      <rPr>
        <sz val="24"/>
        <color rgb="FF000000"/>
        <rFont val="Calibri"/>
        <family val="3"/>
      </rPr>
      <t>ρ</t>
    </r>
    <r>
      <rPr>
        <sz val="24"/>
        <color rgb="FF000000"/>
        <rFont val="仿宋"/>
        <family val="3"/>
      </rPr>
      <t>（拉布拉斯值）</t>
    </r>
  </si>
  <si>
    <t>CT</t>
  </si>
  <si>
    <r>
      <t xml:space="preserve">ES </t>
    </r>
    <r>
      <rPr>
        <sz val="18"/>
        <color rgb="FF595959"/>
        <rFont val="仿宋"/>
        <family val="3"/>
      </rPr>
      <t>静电能(</t>
    </r>
    <r>
      <rPr>
        <sz val="18"/>
        <color rgb="FF595959"/>
        <rFont val="Times New Roman"/>
        <family val="3"/>
      </rPr>
      <t>kcal/mol)</t>
    </r>
  </si>
  <si>
    <r>
      <t xml:space="preserve">EX </t>
    </r>
    <r>
      <rPr>
        <sz val="18"/>
        <color rgb="FF595959"/>
        <rFont val="仿宋"/>
        <family val="3"/>
      </rPr>
      <t>交换能</t>
    </r>
  </si>
  <si>
    <r>
      <t>REP</t>
    </r>
    <r>
      <rPr>
        <sz val="18"/>
        <color rgb="FF595959"/>
        <rFont val="仿宋"/>
        <family val="3"/>
      </rPr>
      <t>排斥能</t>
    </r>
  </si>
  <si>
    <r>
      <t xml:space="preserve">POL </t>
    </r>
    <r>
      <rPr>
        <sz val="18"/>
        <color rgb="FF595959"/>
        <rFont val="仿宋"/>
        <family val="3"/>
      </rPr>
      <t>极化能</t>
    </r>
  </si>
  <si>
    <r>
      <t>E</t>
    </r>
    <r>
      <rPr>
        <sz val="18"/>
        <color rgb="FF595959"/>
        <rFont val="Times New Roman"/>
        <family val="1"/>
      </rPr>
      <t>CORR</t>
    </r>
  </si>
  <si>
    <r>
      <t xml:space="preserve">E </t>
    </r>
    <r>
      <rPr>
        <sz val="18"/>
        <color rgb="FF595959"/>
        <rFont val="仿宋"/>
        <family val="3"/>
      </rPr>
      <t>总能量</t>
    </r>
  </si>
  <si>
    <t>文件</t>
  </si>
  <si>
    <t>配体</t>
  </si>
  <si>
    <t>主Donor</t>
  </si>
  <si>
    <t>主Acceptor</t>
  </si>
  <si>
    <t>最大E(2) kcal/mol</t>
  </si>
  <si>
    <t>目标通道E(2)求和</t>
  </si>
  <si>
    <t>目标通道数</t>
  </si>
  <si>
    <t>跨片段条数</t>
  </si>
  <si>
    <t>全部条数</t>
  </si>
  <si>
    <t>最低频率 cm-1</t>
  </si>
  <si>
    <t>虚频数</t>
  </si>
  <si>
    <t>主通道LOG行号</t>
  </si>
  <si>
    <t>核查状态</t>
  </si>
  <si>
    <t>HCAACme.log</t>
  </si>
  <si>
    <t>CAACme</t>
  </si>
  <si>
    <t>BD ( 2) C 23 - C 36</t>
  </si>
  <si>
    <t>BD*( 1) O 1 - H 2</t>
  </si>
  <si>
    <t>正常</t>
  </si>
  <si>
    <t>HCAACmePPh3(1).log</t>
  </si>
  <si>
    <t>CAACmePPh3</t>
  </si>
  <si>
    <t>LP ( 1) C 23</t>
  </si>
  <si>
    <t>HCAACmeSPh2(1).log</t>
  </si>
  <si>
    <t>CAACmeSPh2</t>
  </si>
  <si>
    <t>LP ( 1) C 17</t>
  </si>
  <si>
    <t>BD*( 1) O 1 - H 3</t>
  </si>
  <si>
    <t>正常；大E(2)谨慎解释</t>
  </si>
  <si>
    <t>HCO.log</t>
  </si>
  <si>
    <t>CO</t>
  </si>
  <si>
    <t>LP ( 1) C 4</t>
  </si>
  <si>
    <t>HCS.log</t>
  </si>
  <si>
    <t>CS</t>
  </si>
  <si>
    <t>BD ( 2) C 4 - C 5</t>
  </si>
  <si>
    <t>HN2.log</t>
  </si>
  <si>
    <t>N2</t>
  </si>
  <si>
    <t>HN2CAACme.log</t>
  </si>
  <si>
    <t>N2CAACme</t>
  </si>
  <si>
    <t>HN2CO.log</t>
  </si>
  <si>
    <t>N2CO</t>
  </si>
  <si>
    <t>HN2CS.log</t>
  </si>
  <si>
    <t>N2CS</t>
  </si>
  <si>
    <t>BD ( 2) C 4 - C 7</t>
  </si>
  <si>
    <t>HN2NHCme.log</t>
  </si>
  <si>
    <t>N2NHCme</t>
  </si>
  <si>
    <t>LP ( 1) C 19</t>
  </si>
  <si>
    <t>HN2PPh3.log</t>
  </si>
  <si>
    <t>N2PPh3</t>
  </si>
  <si>
    <t>HN2SPh2.log</t>
  </si>
  <si>
    <t>N2SPh2</t>
  </si>
  <si>
    <t>BD ( 2) C 4 - S 5</t>
  </si>
  <si>
    <t>HNHCme(1).log</t>
  </si>
  <si>
    <t>NHCme</t>
  </si>
  <si>
    <t>HNHCmeCAACme.log</t>
  </si>
  <si>
    <t>NHCmeCAACme</t>
  </si>
  <si>
    <t>LP ( 1) C 7</t>
  </si>
  <si>
    <t>HNHCmePPh3(1).log</t>
  </si>
  <si>
    <t>NHCmePPh3</t>
  </si>
  <si>
    <t>HNHCmeSPh2(1).log</t>
  </si>
  <si>
    <t>NHCmeSPh2</t>
  </si>
  <si>
    <t>LP ( 2) C 5</t>
  </si>
  <si>
    <t>HOCCAACme.log</t>
  </si>
  <si>
    <t>OCCAACme</t>
  </si>
  <si>
    <t>BD ( 2) C 17 - C 18</t>
  </si>
  <si>
    <t>HOCCS.log</t>
  </si>
  <si>
    <t>OCCS</t>
  </si>
  <si>
    <t>HOCNHCme.log</t>
  </si>
  <si>
    <t>OCNHCme</t>
  </si>
  <si>
    <t>BD ( 2) C 19 - C 20</t>
  </si>
  <si>
    <t>HOCPPh3.log</t>
  </si>
  <si>
    <t>OCPPh3</t>
  </si>
  <si>
    <t>HOCSPh2.log</t>
  </si>
  <si>
    <t>OCSPh2</t>
  </si>
  <si>
    <t>BD ( 2) C 4 - C 28</t>
  </si>
  <si>
    <t>HPPh3(1).log</t>
  </si>
  <si>
    <t>PPh3</t>
  </si>
  <si>
    <t>HPPh3SPh2(1).log</t>
  </si>
  <si>
    <t>PPh3SPh2</t>
  </si>
  <si>
    <t>HSCCAACme.log</t>
  </si>
  <si>
    <t>SCCAACme</t>
  </si>
  <si>
    <t>HSCNHCme.log</t>
  </si>
  <si>
    <t>SCNHCme</t>
  </si>
  <si>
    <t>HSCPPh3.log</t>
  </si>
  <si>
    <t>SCPPh3</t>
  </si>
  <si>
    <t>HSCSPh2.log</t>
  </si>
  <si>
    <t>SCSPh2</t>
  </si>
  <si>
    <t>BD ( 3) C 4 - C 28</t>
  </si>
  <si>
    <t>HSPh2.log</t>
  </si>
  <si>
    <t>SPh2</t>
  </si>
  <si>
    <t>ClCAACme.log</t>
  </si>
  <si>
    <t>BD*( 1) O 1 -Cl 3</t>
  </si>
  <si>
    <t>ClCAACmePPh3.log</t>
  </si>
  <si>
    <t>LP ( 2) C 23</t>
  </si>
  <si>
    <r>
      <rPr>
        <sz val="11"/>
        <rFont val="微软雅黑"/>
        <family val="2"/>
      </rPr>
      <t>大</t>
    </r>
    <r>
      <rPr>
        <sz val="11"/>
        <rFont val="Arial"/>
        <family val="2"/>
      </rPr>
      <t>E(2)</t>
    </r>
    <r>
      <rPr>
        <sz val="11"/>
        <rFont val="微软雅黑"/>
        <family val="2"/>
      </rPr>
      <t>谨慎解释</t>
    </r>
  </si>
  <si>
    <t>ClCAACmeSPh2.log</t>
  </si>
  <si>
    <t>BD*( 1) O 1 -Cl 2</t>
  </si>
  <si>
    <t>ClCO.log</t>
  </si>
  <si>
    <t>ClCS.log</t>
  </si>
  <si>
    <t>BD ( 3) C 4 - C 5</t>
  </si>
  <si>
    <t>ClN2.log</t>
  </si>
  <si>
    <t>ClN2CAACme.log</t>
  </si>
  <si>
    <t>ClN2CO.log</t>
  </si>
  <si>
    <t>ClN2CS.log</t>
  </si>
  <si>
    <t>BD ( 3) C 4 - C 7</t>
  </si>
  <si>
    <t>ClN2NHCme.log</t>
  </si>
  <si>
    <t>ClN2PPh3.log</t>
  </si>
  <si>
    <t>LP ( 2) C 4</t>
  </si>
  <si>
    <t>ClN2SPh2.log</t>
  </si>
  <si>
    <t>ClNHCme(5).log</t>
  </si>
  <si>
    <t>ClNHCmeCAACme(1).log</t>
  </si>
  <si>
    <t>LP ( 2) C 7</t>
  </si>
  <si>
    <t>ClNHCmePPh3(1).log</t>
  </si>
  <si>
    <t>LP ( 2) C 19</t>
  </si>
  <si>
    <r>
      <rPr>
        <sz val="11"/>
        <rFont val="微软雅黑"/>
        <family val="2"/>
      </rPr>
      <t>正常；大</t>
    </r>
    <r>
      <rPr>
        <sz val="11"/>
        <rFont val="Arial"/>
        <family val="2"/>
      </rPr>
      <t>E(2)</t>
    </r>
    <r>
      <rPr>
        <sz val="11"/>
        <rFont val="微软雅黑"/>
        <family val="2"/>
      </rPr>
      <t>谨慎解释</t>
    </r>
  </si>
  <si>
    <t>ClNHCmeSPh2(1).log</t>
  </si>
  <si>
    <t>ClOCCAACme.log</t>
  </si>
  <si>
    <t>ClOCCS.log</t>
  </si>
  <si>
    <t>ClOCNHCme.log</t>
  </si>
  <si>
    <t>BD ( 3) C 19 - C 20</t>
  </si>
  <si>
    <t>ClOCPPh3.log</t>
  </si>
  <si>
    <t>ClOCSPh2.log</t>
  </si>
  <si>
    <t>ClPPh3.log</t>
  </si>
  <si>
    <t>ClPPh3SPh2(1).log</t>
  </si>
  <si>
    <t>ClSCCAACme.log</t>
  </si>
  <si>
    <t>ClSCNHCme.log</t>
  </si>
  <si>
    <t>BD ( 2) C 4 - C 19</t>
  </si>
  <si>
    <t>ClSCPPh3.log</t>
  </si>
  <si>
    <t>ClSCSPh2.log</t>
  </si>
  <si>
    <t>ClSPh2.log</t>
  </si>
  <si>
    <t>配体编号</t>
  </si>
  <si>
    <t>Cl-CAACme</t>
  </si>
  <si>
    <t>H-CAACme</t>
  </si>
  <si>
    <t>Cl-CAACmePPh3</t>
  </si>
  <si>
    <t>H-CAACmePPh3</t>
  </si>
  <si>
    <t>Cl-CAACmeSPh2</t>
  </si>
  <si>
    <t>H-CAACmeSPh2</t>
  </si>
  <si>
    <t>Cl-CO</t>
  </si>
  <si>
    <t>H-CO</t>
  </si>
  <si>
    <t>Cl-CS</t>
  </si>
  <si>
    <t>H-CS</t>
  </si>
  <si>
    <t>Cl-N2</t>
  </si>
  <si>
    <t>H-N2</t>
  </si>
  <si>
    <t>Cl-N2CAACme</t>
  </si>
  <si>
    <t>H-N2CAACme</t>
  </si>
  <si>
    <t>Cl-N2CO</t>
  </si>
  <si>
    <t>H-N2CO</t>
  </si>
  <si>
    <t>Cl-N2CS</t>
  </si>
  <si>
    <t>H-N2CS</t>
  </si>
  <si>
    <t>Cl-N2NHCme</t>
  </si>
  <si>
    <t>H-N2NHCme</t>
  </si>
  <si>
    <t>Cl-N2PPh3</t>
  </si>
  <si>
    <t>H-N2PPh3</t>
  </si>
  <si>
    <t>Cl-N2SPh2</t>
  </si>
  <si>
    <t>H-N2SPh2</t>
  </si>
  <si>
    <t>Cl-NHCme</t>
  </si>
  <si>
    <t>H-NHCme</t>
  </si>
  <si>
    <t>Cl-NHCmeCAACme</t>
  </si>
  <si>
    <t>H-NHCmeCAACme</t>
  </si>
  <si>
    <t>Cl-NHCmePPh3</t>
  </si>
  <si>
    <t>H-NHCmePPh3</t>
  </si>
  <si>
    <t>Cl-NHCmeSPh2</t>
  </si>
  <si>
    <t>H-NHCmeSPh2</t>
  </si>
  <si>
    <t>Cl-OCCAACme</t>
  </si>
  <si>
    <t>H-OCCAACme</t>
  </si>
  <si>
    <t>Cl-OCCS</t>
  </si>
  <si>
    <t>H-OCCS</t>
  </si>
  <si>
    <t>Cl-OCNHCme</t>
  </si>
  <si>
    <t>H-OCNHCme</t>
  </si>
  <si>
    <t>Cl-OCPPh3</t>
  </si>
  <si>
    <t>H-OCPPh3</t>
  </si>
  <si>
    <t>Cl-OCSPh2</t>
  </si>
  <si>
    <t>H-OCSPh2</t>
  </si>
  <si>
    <t>Cl-PPh3</t>
  </si>
  <si>
    <t>H-PPh3</t>
  </si>
  <si>
    <t>Cl-PPh3SPh2</t>
  </si>
  <si>
    <t>H-PPh3SPh2</t>
  </si>
  <si>
    <t>Cl-SCCAACme</t>
  </si>
  <si>
    <t>H-SCCAACme</t>
  </si>
  <si>
    <t>Cl-SCNHCme</t>
  </si>
  <si>
    <t>H-SCNHCme</t>
  </si>
  <si>
    <t>Cl-SCPPh3</t>
  </si>
  <si>
    <t>H-SCPPh3</t>
  </si>
  <si>
    <t>Cl-SCSPh2</t>
  </si>
  <si>
    <t>H-SCSPh2</t>
  </si>
  <si>
    <t>Cl-SPh2</t>
  </si>
  <si>
    <t>H-SPh2</t>
  </si>
  <si>
    <t>体系编号</t>
  </si>
  <si>
    <t>Cl</t>
  </si>
  <si>
    <t>作用端（原）</t>
  </si>
  <si>
    <t>H端</t>
  </si>
  <si>
    <t>Cl端</t>
  </si>
  <si>
    <t>配体名称</t>
  </si>
  <si>
    <t>原配体名称</t>
  </si>
  <si>
    <t>H端名称</t>
  </si>
  <si>
    <t>Cl端名称</t>
  </si>
  <si>
    <t>命名说明</t>
  </si>
  <si>
    <t>原编号（供核对）</t>
  </si>
  <si>
    <t>说明</t>
  </si>
  <si>
    <t>内容</t>
  </si>
  <si>
    <t>H：HOCl的H端；Cl：HOCl的Cl端</t>
  </si>
  <si>
    <t>L1</t>
  </si>
  <si>
    <t>总体系</t>
  </si>
  <si>
    <t>28种配体 × 2个作用端 = 56个</t>
  </si>
  <si>
    <t>L2</t>
  </si>
  <si>
    <t>排序</t>
  </si>
  <si>
    <t>全部逐体系工作表按H-L1～H-L28，再Cl-L1～Cl-L28；配对表按L1～L28</t>
  </si>
  <si>
    <t>L3</t>
  </si>
  <si>
    <t>排除</t>
  </si>
  <si>
    <t>CSNHCme不在研究范围内</t>
  </si>
  <si>
    <t>L4</t>
  </si>
  <si>
    <t>文件名</t>
  </si>
  <si>
    <t>NBO主表中的LOG文件名保留不变，便于原始溯源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</si>
  <si>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</si>
  <si>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</si>
  <si>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</si>
  <si>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</si>
  <si>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</si>
  <si>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</si>
  <si>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</si>
  <si>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</si>
  <si>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</si>
  <si>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</si>
  <si>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</si>
  <si>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</si>
  <si>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</si>
  <si>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</si>
  <si>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</si>
  <si>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</si>
  <si>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</si>
  <si>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</si>
  <si>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</si>
  <si>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</si>
  <si>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</si>
  <si>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</si>
  <si>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</si>
  <si>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</si>
  <si>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r>
      <t>V</t>
    </r>
    <r>
      <rPr>
        <sz val="11"/>
        <color theme="1"/>
        <rFont val="Calibri"/>
        <family val="3"/>
        <scheme val="minor"/>
      </rPr>
      <t>s,min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微软雅黑"/>
        <family val="2"/>
        <charset val="134"/>
      </rPr>
      <t>）, kcalmol−1</t>
    </r>
    <phoneticPr fontId="35" type="noConversion"/>
  </si>
  <si>
    <t>Eint  kcal/mol 相互作用能</t>
    <phoneticPr fontId="35" type="noConversion"/>
  </si>
  <si>
    <r>
      <t xml:space="preserve">Eb Kcal/mol </t>
    </r>
    <r>
      <rPr>
        <sz val="14"/>
        <color theme="1"/>
        <rFont val="宋体"/>
        <family val="3"/>
        <charset val="134"/>
      </rPr>
      <t>结合能</t>
    </r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</si>
</sst>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000_ "/>
    <numFmt numFmtId="178" formatCode="0.0000_ "/>
    <numFmt numFmtId="179" formatCode="0.00_ "/>
  </numFmts>
  <fonts count="39">
    <font>
      <sz val="11"/>
      <color theme="1"/>
      <name val="等线"/>
    </font>
    <font>
      <sz val="11"/>
      <color theme="1"/>
      <name val="Times New Roman"/>
    </font>
    <font>
      <sz val="24"/>
      <color rgb="FF000000"/>
      <name val="Times New Roman"/>
    </font>
    <font>
      <sz val="24"/>
      <color rgb="FF000000"/>
      <name val="仿宋"/>
      <family val="3"/>
      <charset val="134"/>
    </font>
    <font>
      <sz val="24"/>
      <color rgb="FF000000"/>
      <name val="Calibri"/>
    </font>
    <font>
      <sz val="18"/>
      <color rgb="FF595959"/>
      <name val="Times New Roman"/>
    </font>
    <font>
      <sz val="14"/>
      <color theme="1"/>
      <name val="Times New Roman"/>
    </font>
    <font>
      <sz val="14"/>
      <color theme="1"/>
      <name val="仿宋"/>
      <family val="3"/>
      <charset val="134"/>
    </font>
    <font>
      <sz val="14"/>
      <color theme="1"/>
      <name val="等线"/>
      <charset val="134"/>
    </font>
    <font>
      <sz val="14"/>
      <color rgb="FFFF0000"/>
      <name val="仿宋"/>
      <family val="3"/>
      <charset val="134"/>
    </font>
    <font>
      <b/>
      <sz val="14"/>
      <color theme="1"/>
      <name val="仿宋"/>
      <family val="3"/>
      <charset val="134"/>
    </font>
    <font>
      <sz val="9"/>
      <color theme="1"/>
      <name val="Times New Roman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</font>
    <font>
      <sz val="11"/>
      <name val="Carlito"/>
    </font>
    <font>
      <b/>
      <sz val="11"/>
      <color rgb="FFFFFFFF"/>
      <name val="Carlito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</font>
    <font>
      <sz val="10"/>
      <color theme="1"/>
      <name val="Arial Unicode MS"/>
    </font>
    <font>
      <sz val="22"/>
      <color theme="1"/>
      <name val="等线"/>
      <family val="3"/>
      <charset val="134"/>
    </font>
    <font>
      <sz val="22"/>
      <color theme="1"/>
      <name val="Times New Roman"/>
      <family val="1"/>
    </font>
    <font>
      <b/>
      <sz val="11"/>
      <color rgb="FFFFFFFF"/>
      <name val="等线"/>
      <family val="3"/>
      <charset val="134"/>
    </font>
    <font>
      <sz val="11"/>
      <color theme="1"/>
      <name val="Calibri"/>
      <family val="3"/>
      <scheme val="minor"/>
    </font>
    <font>
      <sz val="11"/>
      <color theme="1"/>
      <name val="Calibri"/>
      <family val="2"/>
      <scheme val="minor"/>
    </font>
    <font>
      <sz val="24"/>
      <color rgb="FF000000"/>
      <name val="Segoe UI Symbol"/>
      <family val="3"/>
    </font>
    <font>
      <sz val="24"/>
      <color rgb="FF000000"/>
      <name val="仿宋"/>
      <family val="3"/>
    </font>
    <font>
      <sz val="24"/>
      <color rgb="FF000000"/>
      <name val="Calibri"/>
      <family val="3"/>
    </font>
    <font>
      <sz val="24"/>
      <color rgb="FF000000"/>
      <name val="宋体"/>
      <family val="3"/>
    </font>
    <font>
      <sz val="18"/>
      <color rgb="FF595959"/>
      <name val="仿宋"/>
      <family val="3"/>
    </font>
    <font>
      <sz val="18"/>
      <color rgb="FF595959"/>
      <name val="Times New Roman"/>
      <family val="3"/>
    </font>
    <font>
      <sz val="18"/>
      <color rgb="FF595959"/>
      <name val="Times New Roman"/>
      <family val="1"/>
    </font>
    <font>
      <sz val="11"/>
      <name val="微软雅黑"/>
      <family val="2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4"/>
      <color theme="1"/>
      <name val="宋体"/>
      <family val="3"/>
      <charset val="134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10" fillId="0" borderId="1">
      <alignment horizontal="left" vertical="center"/>
    </xf>
    <xf numFmtId="0" fontId="12" fillId="0" borderId="3" applyFont="0" applyBorder="0" applyAlignment="0"/>
    <xf numFmtId="0" fontId="15" fillId="0" borderId="0"/>
    <xf numFmtId="0" fontId="15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178" fontId="3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0" fillId="0" borderId="0" xfId="0" applyNumberFormat="1"/>
    <xf numFmtId="178" fontId="1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left" vertical="center"/>
    </xf>
    <xf numFmtId="178" fontId="11" fillId="0" borderId="2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 wrapText="1"/>
    </xf>
    <xf numFmtId="179" fontId="13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16" fillId="4" borderId="0" xfId="3" applyFont="1" applyFill="1"/>
    <xf numFmtId="0" fontId="15" fillId="0" borderId="0" xfId="4"/>
    <xf numFmtId="0" fontId="19" fillId="0" borderId="0" xfId="4" applyFont="1"/>
    <xf numFmtId="0" fontId="17" fillId="0" borderId="0" xfId="4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5" borderId="0" xfId="0" applyFont="1" applyFill="1"/>
    <xf numFmtId="0" fontId="23" fillId="6" borderId="0" xfId="0" applyFont="1" applyFill="1"/>
    <xf numFmtId="178" fontId="0" fillId="3" borderId="0" xfId="0" applyNumberFormat="1" applyFill="1" applyAlignment="1">
      <alignment horizontal="center" vertical="center"/>
    </xf>
    <xf numFmtId="179" fontId="0" fillId="0" borderId="0" xfId="0" applyNumberFormat="1"/>
    <xf numFmtId="179" fontId="34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9" fontId="9" fillId="2" borderId="0" xfId="0" applyNumberFormat="1" applyFont="1" applyFill="1" applyAlignment="1">
      <alignment horizontal="center" vertical="center"/>
    </xf>
    <xf numFmtId="179" fontId="22" fillId="0" borderId="0" xfId="0" applyNumberFormat="1" applyFont="1" applyAlignment="1">
      <alignment horizontal="center" vertical="center"/>
    </xf>
    <xf numFmtId="179" fontId="38" fillId="0" borderId="0" xfId="0" applyNumberFormat="1" applyFont="1" applyAlignment="1">
      <alignment horizontal="center" vertical="center"/>
    </xf>
  </cellXfs>
  <cellStyles count="5">
    <cellStyle name="Normal" xfId="3" xr:uid="{00000000-0005-0000-0000-000000000000}"/>
    <cellStyle name="常规" xfId="0" builtinId="0"/>
    <cellStyle name="常规 2" xfId="4" xr:uid="{00000000-0005-0000-0000-000002000000}"/>
    <cellStyle name="论文三线表" xfId="1" xr:uid="{00000000-0005-0000-0000-000003000000}"/>
    <cellStyle name="样式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自定义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0000"/>
      </a:accent1>
      <a:accent2>
        <a:srgbClr val="00B0F0"/>
      </a:accent2>
      <a:accent3>
        <a:srgbClr val="A5A5A5"/>
      </a:accent3>
      <a:accent4>
        <a:srgbClr val="92D05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自定义 1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F8" sqref="F8"/>
    </sheetView>
  </sheetViews>
  <sheetFormatPr defaultRowHeight="13.9"/>
  <cols>
    <col min="1" max="1" width="18.9296875" style="2" customWidth="1"/>
    <col min="2" max="3" width="9.06640625" style="41"/>
  </cols>
  <sheetData>
    <row r="1" spans="1:3" ht="15">
      <c r="A1" t="s">
        <v>158</v>
      </c>
      <c r="B1" s="42" t="s">
        <v>265</v>
      </c>
      <c r="C1" s="41" t="s">
        <v>0</v>
      </c>
    </row>
    <row r="2" spans="1:3">
      <c r="A2" s="2" t="s">
        <v>45</v>
      </c>
      <c r="B2" s="41">
        <v>-8.5474560000000004</v>
      </c>
    </row>
    <row r="3" spans="1:3">
      <c r="A3" s="2" t="s">
        <v>50</v>
      </c>
      <c r="B3" s="41">
        <v>-24.354455000000002</v>
      </c>
    </row>
    <row r="4" spans="1:3">
      <c r="A4" s="2" t="s">
        <v>53</v>
      </c>
      <c r="B4" s="41">
        <v>-28.710342000000001</v>
      </c>
    </row>
    <row r="5" spans="1:3">
      <c r="A5" s="2" t="s">
        <v>58</v>
      </c>
      <c r="B5" s="41">
        <v>5.5210869999999996</v>
      </c>
    </row>
    <row r="6" spans="1:3">
      <c r="A6" s="2" t="s">
        <v>61</v>
      </c>
      <c r="B6" s="41">
        <v>2.4254000000000001E-2</v>
      </c>
    </row>
    <row r="7" spans="1:3">
      <c r="A7" s="2" t="s">
        <v>64</v>
      </c>
      <c r="B7" s="41">
        <v>-10.476742</v>
      </c>
    </row>
    <row r="8" spans="1:3">
      <c r="A8" s="2" t="s">
        <v>66</v>
      </c>
      <c r="B8" s="41">
        <v>-28.591888999999998</v>
      </c>
    </row>
    <row r="9" spans="1:3">
      <c r="A9" s="2" t="s">
        <v>68</v>
      </c>
      <c r="B9" s="41">
        <v>-4.054074</v>
      </c>
    </row>
    <row r="10" spans="1:3">
      <c r="A10" s="2" t="s">
        <v>70</v>
      </c>
      <c r="C10" s="41">
        <v>4.8438556200000003</v>
      </c>
    </row>
    <row r="11" spans="1:3">
      <c r="A11" s="2" t="s">
        <v>73</v>
      </c>
      <c r="B11" s="41">
        <v>-31.623467999999999</v>
      </c>
    </row>
    <row r="12" spans="1:3">
      <c r="A12" s="2" t="s">
        <v>76</v>
      </c>
      <c r="B12" s="41">
        <v>-29.063248000000002</v>
      </c>
    </row>
    <row r="13" spans="1:3">
      <c r="A13" s="2" t="s">
        <v>78</v>
      </c>
      <c r="B13" s="27">
        <v>-36.284827999999997</v>
      </c>
    </row>
    <row r="14" spans="1:3">
      <c r="A14" s="2" t="s">
        <v>81</v>
      </c>
      <c r="B14" s="27">
        <v>-36.437156999999999</v>
      </c>
    </row>
    <row r="15" spans="1:3">
      <c r="A15" s="2" t="s">
        <v>83</v>
      </c>
      <c r="B15" s="27">
        <v>-31.53726</v>
      </c>
    </row>
    <row r="16" spans="1:3">
      <c r="A16" s="2" t="s">
        <v>86</v>
      </c>
      <c r="B16" s="27">
        <v>-25.994005000000001</v>
      </c>
    </row>
    <row r="17" spans="1:3">
      <c r="A17" s="2" t="s">
        <v>88</v>
      </c>
      <c r="B17" s="41">
        <v>-29.630417000000001</v>
      </c>
    </row>
    <row r="18" spans="1:3">
      <c r="A18" s="2" t="s">
        <v>91</v>
      </c>
      <c r="B18" s="41">
        <v>-26.322959999999998</v>
      </c>
    </row>
    <row r="19" spans="1:3">
      <c r="A19" s="2" t="s">
        <v>94</v>
      </c>
      <c r="B19" s="41">
        <v>2.3186520000000002</v>
      </c>
    </row>
    <row r="20" spans="1:3">
      <c r="A20" s="2" t="s">
        <v>96</v>
      </c>
      <c r="B20" s="41">
        <v>-29.733388000000001</v>
      </c>
    </row>
    <row r="21" spans="1:3">
      <c r="A21" s="2" t="s">
        <v>99</v>
      </c>
      <c r="B21" s="41">
        <v>-27.820086</v>
      </c>
    </row>
    <row r="22" spans="1:3">
      <c r="A22" s="2" t="s">
        <v>101</v>
      </c>
      <c r="B22" s="41">
        <v>-24.985676999999999</v>
      </c>
    </row>
    <row r="23" spans="1:3">
      <c r="A23" s="2" t="s">
        <v>104</v>
      </c>
      <c r="B23" s="41">
        <v>-17.9162</v>
      </c>
    </row>
    <row r="24" spans="1:3">
      <c r="A24" s="2" t="s">
        <v>106</v>
      </c>
      <c r="B24" s="27">
        <v>-34.837178999999999</v>
      </c>
    </row>
    <row r="25" spans="1:3">
      <c r="A25" s="2" t="s">
        <v>108</v>
      </c>
      <c r="C25" s="41">
        <v>-20.264790940000001</v>
      </c>
    </row>
    <row r="26" spans="1:3">
      <c r="A26" s="2" t="s">
        <v>110</v>
      </c>
      <c r="C26" s="41">
        <v>-24.93016708</v>
      </c>
    </row>
    <row r="27" spans="1:3">
      <c r="A27" s="2" t="s">
        <v>112</v>
      </c>
      <c r="C27" s="41">
        <v>-12.75056897</v>
      </c>
    </row>
    <row r="28" spans="1:3">
      <c r="A28" s="2" t="s">
        <v>114</v>
      </c>
      <c r="B28" s="41">
        <v>-23.615295</v>
      </c>
    </row>
    <row r="29" spans="1:3">
      <c r="A29" s="2" t="s">
        <v>117</v>
      </c>
      <c r="B29" s="27">
        <v>-43.907279000000003</v>
      </c>
    </row>
  </sheetData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activeCell="J11" sqref="J11"/>
    </sheetView>
  </sheetViews>
  <sheetFormatPr defaultRowHeight="17.649999999999999"/>
  <cols>
    <col min="1" max="1" width="16.59765625" style="8" customWidth="1"/>
    <col min="2" max="3" width="16.59765625" style="44" customWidth="1"/>
    <col min="5" max="5" width="16.59765625" style="8" customWidth="1"/>
    <col min="6" max="6" width="16.59765625" style="44" customWidth="1"/>
    <col min="7" max="7" width="19.86328125" style="44" customWidth="1"/>
  </cols>
  <sheetData>
    <row r="1" spans="1:7">
      <c r="A1" s="7" t="s">
        <v>1</v>
      </c>
      <c r="B1" s="45" t="s">
        <v>266</v>
      </c>
      <c r="C1" s="47" t="s">
        <v>267</v>
      </c>
      <c r="E1" s="7" t="s">
        <v>1</v>
      </c>
      <c r="F1" s="45" t="s">
        <v>2</v>
      </c>
      <c r="G1" s="43" t="s">
        <v>3</v>
      </c>
    </row>
    <row r="2" spans="1:7">
      <c r="A2" s="9" t="s">
        <v>159</v>
      </c>
      <c r="B2" s="43">
        <v>-19.170000000000002</v>
      </c>
      <c r="C2" s="43">
        <v>-5.5548628473014032</v>
      </c>
      <c r="E2" s="9" t="s">
        <v>160</v>
      </c>
      <c r="F2" s="43">
        <v>-10.3</v>
      </c>
      <c r="G2" s="43">
        <v>-5.3338349999452115</v>
      </c>
    </row>
    <row r="3" spans="1:7">
      <c r="A3" s="9" t="s">
        <v>161</v>
      </c>
      <c r="B3" s="43">
        <v>-31.57</v>
      </c>
      <c r="C3" s="43">
        <v>-12.393322499956625</v>
      </c>
      <c r="E3" s="9" t="s">
        <v>162</v>
      </c>
      <c r="F3" s="43">
        <v>-22.44</v>
      </c>
      <c r="G3" s="43">
        <v>-10.868284946947501</v>
      </c>
    </row>
    <row r="4" spans="1:7">
      <c r="A4" s="9" t="s">
        <v>163</v>
      </c>
      <c r="B4" s="43">
        <v>-22.45</v>
      </c>
      <c r="C4" s="43">
        <v>-10.931914460915264</v>
      </c>
      <c r="E4" s="9" t="s">
        <v>164</v>
      </c>
      <c r="F4" s="43">
        <v>-108.73</v>
      </c>
      <c r="G4" s="43">
        <v>-23.19276959994238</v>
      </c>
    </row>
    <row r="5" spans="1:7">
      <c r="A5" s="9" t="s">
        <v>165</v>
      </c>
      <c r="B5" s="43">
        <v>-0.59</v>
      </c>
      <c r="C5" s="43">
        <v>-0.17444777998759947</v>
      </c>
      <c r="E5" s="9" t="s">
        <v>166</v>
      </c>
      <c r="F5" s="43">
        <v>-1.61</v>
      </c>
      <c r="G5" s="43">
        <v>-0.60240959997719412</v>
      </c>
    </row>
    <row r="6" spans="1:7">
      <c r="A6" s="9" t="s">
        <v>167</v>
      </c>
      <c r="B6" s="43">
        <v>0.38</v>
      </c>
      <c r="C6" s="43">
        <v>0.44553210001657362</v>
      </c>
      <c r="E6" s="9" t="s">
        <v>168</v>
      </c>
      <c r="F6" s="43">
        <v>-0.24</v>
      </c>
      <c r="G6" s="43">
        <v>-0.14432730006364636</v>
      </c>
    </row>
    <row r="7" spans="1:7">
      <c r="A7" s="9" t="s">
        <v>169</v>
      </c>
      <c r="B7" s="43">
        <v>-3.76</v>
      </c>
      <c r="C7" s="43">
        <v>-3.087788456972969</v>
      </c>
      <c r="E7" s="9" t="s">
        <v>170</v>
      </c>
      <c r="F7" s="43">
        <v>-4.54</v>
      </c>
      <c r="G7" s="43">
        <v>-4.1052104745409839</v>
      </c>
    </row>
    <row r="8" spans="1:7">
      <c r="A8" s="9" t="s">
        <v>171</v>
      </c>
      <c r="B8" s="43">
        <v>-13.98</v>
      </c>
      <c r="C8" s="43">
        <v>-9.1754512199482523</v>
      </c>
      <c r="E8" s="9" t="s">
        <v>172</v>
      </c>
      <c r="F8" s="43">
        <v>-12.39</v>
      </c>
      <c r="G8" s="43">
        <v>-10.048773114358818</v>
      </c>
    </row>
    <row r="9" spans="1:7">
      <c r="A9" s="9" t="s">
        <v>173</v>
      </c>
      <c r="B9" s="43">
        <v>-2.13</v>
      </c>
      <c r="C9" s="43">
        <v>-1.7193774000107067</v>
      </c>
      <c r="E9" s="9" t="s">
        <v>174</v>
      </c>
      <c r="F9" s="43">
        <v>-2.94</v>
      </c>
      <c r="G9" s="43">
        <v>-2.4096383999801163</v>
      </c>
    </row>
    <row r="10" spans="1:7">
      <c r="A10" s="9" t="s">
        <v>175</v>
      </c>
      <c r="B10" s="43">
        <v>-1.48</v>
      </c>
      <c r="C10" s="43">
        <v>-0.45394073383839667</v>
      </c>
      <c r="E10" s="9" t="s">
        <v>176</v>
      </c>
      <c r="F10" s="43">
        <v>-1.94</v>
      </c>
      <c r="G10" s="43">
        <v>-0.74046179984266469</v>
      </c>
    </row>
    <row r="11" spans="1:7">
      <c r="A11" s="9" t="s">
        <v>177</v>
      </c>
      <c r="B11" s="43">
        <v>-16.579999999999998</v>
      </c>
      <c r="C11" s="43">
        <v>-10.344483524678012</v>
      </c>
      <c r="E11" s="9" t="s">
        <v>178</v>
      </c>
      <c r="F11" s="43">
        <v>-13.7</v>
      </c>
      <c r="G11" s="43">
        <v>-11.268962860538448</v>
      </c>
    </row>
    <row r="12" spans="1:7">
      <c r="A12" s="9" t="s">
        <v>179</v>
      </c>
      <c r="B12" s="43">
        <v>-15.34</v>
      </c>
      <c r="C12" s="43">
        <v>-9.8519069999525168</v>
      </c>
      <c r="E12" s="9" t="s">
        <v>180</v>
      </c>
      <c r="F12" s="43">
        <v>-12.22</v>
      </c>
      <c r="G12" s="43">
        <v>-10.110441119870497</v>
      </c>
    </row>
    <row r="13" spans="1:7">
      <c r="A13" s="9" t="s">
        <v>181</v>
      </c>
      <c r="B13" s="43">
        <v>-13.77</v>
      </c>
      <c r="C13" s="43">
        <v>-9.3825295199961456</v>
      </c>
      <c r="E13" s="9" t="s">
        <v>182</v>
      </c>
      <c r="F13" s="43">
        <v>-12.01</v>
      </c>
      <c r="G13" s="43">
        <v>-10.505772420013816</v>
      </c>
    </row>
    <row r="14" spans="1:7">
      <c r="A14" s="9" t="s">
        <v>183</v>
      </c>
      <c r="B14" s="43">
        <v>-40.26</v>
      </c>
      <c r="C14" s="43">
        <v>-20.393999698757387</v>
      </c>
      <c r="E14" s="9" t="s">
        <v>184</v>
      </c>
      <c r="F14" s="43">
        <v>-92.54</v>
      </c>
      <c r="G14" s="43">
        <v>-22.471133099909508</v>
      </c>
    </row>
    <row r="15" spans="1:7">
      <c r="A15" s="9" t="s">
        <v>185</v>
      </c>
      <c r="B15" s="43">
        <v>-33.78</v>
      </c>
      <c r="C15" s="43">
        <v>-16.885666589957548</v>
      </c>
      <c r="E15" s="9" t="s">
        <v>186</v>
      </c>
      <c r="F15" s="43">
        <v>-24.82</v>
      </c>
      <c r="G15" s="43">
        <v>-14.36307638990591</v>
      </c>
    </row>
    <row r="16" spans="1:7">
      <c r="A16" s="9" t="s">
        <v>187</v>
      </c>
      <c r="B16" s="43">
        <v>-31.66</v>
      </c>
      <c r="C16" s="43">
        <v>-15.840172179121682</v>
      </c>
      <c r="E16" s="9" t="s">
        <v>188</v>
      </c>
      <c r="F16" s="43">
        <v>-27.23</v>
      </c>
      <c r="G16" s="43">
        <v>-14.135290260124316</v>
      </c>
    </row>
    <row r="17" spans="1:7">
      <c r="A17" s="9" t="s">
        <v>189</v>
      </c>
      <c r="B17" s="43">
        <v>-36.97</v>
      </c>
      <c r="C17" s="43">
        <v>-19.57354292386297</v>
      </c>
      <c r="E17" s="9" t="s">
        <v>190</v>
      </c>
      <c r="F17" s="43">
        <v>-110.48</v>
      </c>
      <c r="G17" s="43">
        <v>-23.622488447970344</v>
      </c>
    </row>
    <row r="18" spans="1:7">
      <c r="A18" s="9" t="s">
        <v>191</v>
      </c>
      <c r="B18" s="43">
        <v>-10</v>
      </c>
      <c r="C18" s="43">
        <v>-6.475903199986691</v>
      </c>
      <c r="E18" s="9" t="s">
        <v>192</v>
      </c>
      <c r="F18" s="43">
        <v>-10.36</v>
      </c>
      <c r="G18" s="43">
        <v>-8.2015556999815544</v>
      </c>
    </row>
    <row r="19" spans="1:7">
      <c r="A19" s="9" t="s">
        <v>193</v>
      </c>
      <c r="B19" s="43">
        <v>-0.02</v>
      </c>
      <c r="C19" s="43">
        <v>0.17256525006369203</v>
      </c>
      <c r="E19" s="9" t="s">
        <v>194</v>
      </c>
      <c r="F19" s="43">
        <v>-0.46</v>
      </c>
      <c r="G19" s="43">
        <v>-7.843875001598008E-2</v>
      </c>
    </row>
    <row r="20" spans="1:7">
      <c r="A20" s="9" t="s">
        <v>195</v>
      </c>
      <c r="B20" s="43">
        <v>-11.52</v>
      </c>
      <c r="C20" s="43">
        <v>-7.4372485200564142</v>
      </c>
      <c r="E20" s="9" t="s">
        <v>196</v>
      </c>
      <c r="F20" s="43">
        <v>-11.57</v>
      </c>
      <c r="G20" s="43">
        <v>-9.3241710900008083</v>
      </c>
    </row>
    <row r="21" spans="1:7">
      <c r="A21" s="9" t="s">
        <v>197</v>
      </c>
      <c r="B21" s="43">
        <v>-10.37</v>
      </c>
      <c r="C21" s="43">
        <v>-6.8888047798716299</v>
      </c>
      <c r="E21" s="9" t="s">
        <v>198</v>
      </c>
      <c r="F21" s="43">
        <v>-10.52</v>
      </c>
      <c r="G21" s="43">
        <v>-8.5454311799694285</v>
      </c>
    </row>
    <row r="22" spans="1:7">
      <c r="A22" s="9" t="s">
        <v>199</v>
      </c>
      <c r="B22" s="43">
        <v>-12.91</v>
      </c>
      <c r="C22" s="43">
        <v>-7.9631019000128749</v>
      </c>
      <c r="E22" s="9" t="s">
        <v>200</v>
      </c>
      <c r="F22" s="43">
        <v>-11.46</v>
      </c>
      <c r="G22" s="43">
        <v>-9.3367212900404617</v>
      </c>
    </row>
    <row r="23" spans="1:7">
      <c r="A23" s="9" t="s">
        <v>201</v>
      </c>
      <c r="B23" s="43">
        <v>-22.35</v>
      </c>
      <c r="C23" s="43">
        <v>-10.771209150128389</v>
      </c>
      <c r="E23" s="9" t="s">
        <v>202</v>
      </c>
      <c r="F23" s="43">
        <v>-16.149999999999999</v>
      </c>
      <c r="G23" s="43">
        <v>-10.867218180100007</v>
      </c>
    </row>
    <row r="24" spans="1:7">
      <c r="A24" s="9" t="s">
        <v>203</v>
      </c>
      <c r="B24" s="43">
        <v>-25.23</v>
      </c>
      <c r="C24" s="43">
        <v>-14.473894655925747</v>
      </c>
      <c r="E24" s="9" t="s">
        <v>204</v>
      </c>
      <c r="F24" s="43">
        <v>-17.899999999999999</v>
      </c>
      <c r="G24" s="43">
        <v>-13.372238099767969</v>
      </c>
    </row>
    <row r="25" spans="1:7">
      <c r="A25" s="9" t="s">
        <v>205</v>
      </c>
      <c r="B25" s="43">
        <v>-7.25</v>
      </c>
      <c r="C25" s="43">
        <v>-3.7644324898412127</v>
      </c>
      <c r="E25" s="9" t="s">
        <v>206</v>
      </c>
      <c r="F25" s="43">
        <v>-7.34</v>
      </c>
      <c r="G25" s="43">
        <v>-5.2102155299006219</v>
      </c>
    </row>
    <row r="26" spans="1:7">
      <c r="A26" s="9" t="s">
        <v>207</v>
      </c>
      <c r="B26" s="43">
        <v>-10.49</v>
      </c>
      <c r="C26" s="43">
        <v>-5.6099393998188312</v>
      </c>
      <c r="E26" s="9" t="s">
        <v>208</v>
      </c>
      <c r="F26" s="43">
        <v>-9.1300000000000008</v>
      </c>
      <c r="G26" s="43">
        <v>-6.8837846998843037</v>
      </c>
    </row>
    <row r="27" spans="1:7">
      <c r="A27" s="9" t="s">
        <v>209</v>
      </c>
      <c r="B27" s="43">
        <v>-9.7799999999999994</v>
      </c>
      <c r="C27" s="43">
        <v>-5.3965860000721388</v>
      </c>
      <c r="E27" s="9" t="s">
        <v>210</v>
      </c>
      <c r="F27" s="43">
        <v>-8.75</v>
      </c>
      <c r="G27" s="43">
        <v>-6.4937119338601521</v>
      </c>
    </row>
    <row r="28" spans="1:7">
      <c r="A28" s="9" t="s">
        <v>211</v>
      </c>
      <c r="B28" s="43">
        <v>-13.82</v>
      </c>
      <c r="C28" s="43">
        <v>-7.2904111801417839</v>
      </c>
      <c r="E28" s="9" t="s">
        <v>212</v>
      </c>
      <c r="F28" s="43">
        <v>-10.08</v>
      </c>
      <c r="G28" s="43">
        <v>-7.8708579300317503</v>
      </c>
    </row>
    <row r="29" spans="1:7">
      <c r="A29" s="10" t="s">
        <v>213</v>
      </c>
      <c r="B29" s="43">
        <v>-23.46</v>
      </c>
      <c r="C29" s="44">
        <v>-13.999575283928475</v>
      </c>
      <c r="E29" s="10" t="s">
        <v>214</v>
      </c>
      <c r="F29" s="43">
        <v>-17.59</v>
      </c>
      <c r="G29" s="44">
        <v>-13.832830440174558</v>
      </c>
    </row>
  </sheetData>
  <phoneticPr fontId="3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9"/>
  <sheetViews>
    <sheetView workbookViewId="0">
      <selection activeCell="C1" sqref="C1:F1048576"/>
    </sheetView>
  </sheetViews>
  <sheetFormatPr defaultRowHeight="13.9"/>
  <cols>
    <col min="1" max="1" width="15.73046875" style="2" customWidth="1"/>
    <col min="2" max="2" width="9.06640625" style="1"/>
    <col min="3" max="6" width="9.06640625" style="15"/>
    <col min="7" max="8" width="9.06640625" style="1"/>
    <col min="9" max="9" width="9.06640625" style="27"/>
  </cols>
  <sheetData>
    <row r="1" spans="1:14">
      <c r="A1" s="24" t="s">
        <v>215</v>
      </c>
      <c r="B1" s="23" t="s">
        <v>4</v>
      </c>
      <c r="C1" s="25" t="s">
        <v>5</v>
      </c>
      <c r="D1" s="25" t="s">
        <v>6</v>
      </c>
      <c r="E1" s="25" t="s">
        <v>7</v>
      </c>
      <c r="F1" s="25" t="s">
        <v>8</v>
      </c>
      <c r="G1" s="23" t="s">
        <v>9</v>
      </c>
      <c r="H1" s="23" t="s">
        <v>10</v>
      </c>
      <c r="I1" s="26" t="s">
        <v>11</v>
      </c>
      <c r="K1" s="32" t="s">
        <v>12</v>
      </c>
      <c r="L1" t="s">
        <v>13</v>
      </c>
      <c r="M1" t="s">
        <v>14</v>
      </c>
      <c r="N1" t="s">
        <v>15</v>
      </c>
    </row>
    <row r="2" spans="1:14">
      <c r="A2" s="9" t="s">
        <v>160</v>
      </c>
      <c r="B2" s="1" t="s">
        <v>19</v>
      </c>
      <c r="C2" s="15">
        <v>1.8616600000000001</v>
      </c>
      <c r="D2" s="15">
        <v>3.8450199999999999</v>
      </c>
      <c r="E2" s="15">
        <v>1.02552</v>
      </c>
      <c r="F2" s="15">
        <v>1.7138199999999999</v>
      </c>
      <c r="G2" s="15">
        <v>4.601999999999995E-2</v>
      </c>
      <c r="H2" s="15">
        <v>-2.9300000000000992E-3</v>
      </c>
      <c r="I2" s="27">
        <v>170.14071000000001</v>
      </c>
    </row>
    <row r="3" spans="1:14">
      <c r="A3" s="9" t="s">
        <v>162</v>
      </c>
      <c r="B3" s="1" t="s">
        <v>19</v>
      </c>
      <c r="C3" s="15">
        <v>1.57985</v>
      </c>
      <c r="D3" s="15">
        <v>3.7895300000000001</v>
      </c>
      <c r="E3" s="15">
        <v>1.1044700000000001</v>
      </c>
      <c r="F3" s="15">
        <v>1.7095199999999999</v>
      </c>
      <c r="G3" s="15">
        <f t="shared" ref="G3:G57" si="0">E3-$E$59</f>
        <v>0.12497000000000003</v>
      </c>
      <c r="H3" s="15">
        <f t="shared" ref="H3:H57" si="1">F3-$F$59</f>
        <v>-7.2300000000000697E-3</v>
      </c>
      <c r="I3" s="27">
        <v>161.96811</v>
      </c>
    </row>
    <row r="4" spans="1:14">
      <c r="A4" s="9" t="s">
        <v>164</v>
      </c>
      <c r="B4" s="1" t="s">
        <v>19</v>
      </c>
      <c r="C4" s="15">
        <v>1.1213900000000001</v>
      </c>
      <c r="D4" s="15">
        <v>4.1964600000000001</v>
      </c>
      <c r="E4" s="15">
        <v>1.7311700000000001</v>
      </c>
      <c r="F4" s="15">
        <v>1.7006600000000001</v>
      </c>
      <c r="G4" s="15">
        <f t="shared" si="0"/>
        <v>0.75167000000000006</v>
      </c>
      <c r="H4" s="15">
        <f t="shared" si="1"/>
        <v>-1.6089999999999938E-2</v>
      </c>
      <c r="I4" s="27">
        <v>165.60599999999999</v>
      </c>
    </row>
    <row r="5" spans="1:14">
      <c r="A5" s="9" t="s">
        <v>166</v>
      </c>
      <c r="B5" s="1" t="s">
        <v>19</v>
      </c>
      <c r="C5" s="15">
        <v>2.1168399999999998</v>
      </c>
      <c r="D5" s="15">
        <v>3.8908999999999998</v>
      </c>
      <c r="E5" s="15">
        <v>0.98984000000000005</v>
      </c>
      <c r="F5" s="15">
        <v>1.7147300000000001</v>
      </c>
      <c r="G5" s="15">
        <f t="shared" si="0"/>
        <v>1.0340000000000016E-2</v>
      </c>
      <c r="H5" s="15">
        <f t="shared" si="1"/>
        <v>-2.0199999999999108E-3</v>
      </c>
      <c r="I5" s="27">
        <v>177.78</v>
      </c>
      <c r="K5">
        <v>2.87E-2</v>
      </c>
      <c r="L5">
        <v>3.0999999999999999E-3</v>
      </c>
      <c r="M5">
        <v>0.74139999999999995</v>
      </c>
      <c r="N5">
        <v>1.0041</v>
      </c>
    </row>
    <row r="6" spans="1:14">
      <c r="A6" s="9" t="s">
        <v>168</v>
      </c>
      <c r="B6" s="1" t="s">
        <v>19</v>
      </c>
      <c r="C6" s="15">
        <v>2.3913600000000002</v>
      </c>
      <c r="D6" s="15">
        <v>4.1869300000000003</v>
      </c>
      <c r="E6" s="15">
        <v>0.98363</v>
      </c>
      <c r="F6" s="15">
        <v>1.71566</v>
      </c>
      <c r="G6" s="15">
        <f t="shared" si="0"/>
        <v>4.129999999999967E-3</v>
      </c>
      <c r="H6" s="15">
        <f t="shared" si="1"/>
        <v>-1.0900000000000354E-3</v>
      </c>
      <c r="I6" s="27">
        <v>174.67400000000001</v>
      </c>
    </row>
    <row r="7" spans="1:14">
      <c r="A7" s="9" t="s">
        <v>170</v>
      </c>
      <c r="B7" s="1" t="s">
        <v>19</v>
      </c>
      <c r="C7" s="15">
        <v>1.89741</v>
      </c>
      <c r="D7" s="15">
        <v>3.6908500000000002</v>
      </c>
      <c r="E7" s="15">
        <v>1.00359</v>
      </c>
      <c r="F7" s="15">
        <v>1.7122200000000001</v>
      </c>
      <c r="G7" s="15">
        <f t="shared" si="0"/>
        <v>2.4089999999999945E-2</v>
      </c>
      <c r="H7" s="15">
        <f t="shared" si="1"/>
        <v>-4.529999999999923E-3</v>
      </c>
      <c r="I7" s="27">
        <v>178.93593000000001</v>
      </c>
    </row>
    <row r="8" spans="1:14">
      <c r="A8" s="9" t="s">
        <v>172</v>
      </c>
      <c r="B8" s="1" t="s">
        <v>19</v>
      </c>
      <c r="C8" s="15">
        <v>1.7391399999999999</v>
      </c>
      <c r="D8" s="15">
        <v>3.6399499999999998</v>
      </c>
      <c r="E8" s="15">
        <v>1.0384500000000001</v>
      </c>
      <c r="F8" s="15">
        <v>1.7093700000000001</v>
      </c>
      <c r="G8" s="15">
        <f t="shared" si="0"/>
        <v>5.8950000000000058E-2</v>
      </c>
      <c r="H8" s="15">
        <f t="shared" si="1"/>
        <v>-7.3799999999999422E-3</v>
      </c>
      <c r="I8" s="27">
        <v>175.62639999999999</v>
      </c>
    </row>
    <row r="9" spans="1:14">
      <c r="A9" s="9" t="s">
        <v>174</v>
      </c>
      <c r="B9" s="1" t="s">
        <v>19</v>
      </c>
      <c r="C9" s="15">
        <v>1.99075</v>
      </c>
      <c r="D9" s="15">
        <v>3.7687200000000001</v>
      </c>
      <c r="E9" s="15">
        <v>0.99619999999999997</v>
      </c>
      <c r="F9" s="15">
        <v>1.71357</v>
      </c>
      <c r="G9" s="15">
        <f t="shared" si="0"/>
        <v>1.6699999999999937E-2</v>
      </c>
      <c r="H9" s="15">
        <f t="shared" si="1"/>
        <v>-3.1799999999999606E-3</v>
      </c>
      <c r="I9" s="27">
        <v>175.33099999999999</v>
      </c>
    </row>
    <row r="10" spans="1:14">
      <c r="A10" s="9" t="s">
        <v>176</v>
      </c>
      <c r="B10" s="1" t="s">
        <v>19</v>
      </c>
      <c r="C10" s="15">
        <v>2.0619999999999998</v>
      </c>
      <c r="D10" s="15">
        <v>3.8350200000000001</v>
      </c>
      <c r="E10" s="15">
        <v>0.99282000000000004</v>
      </c>
      <c r="F10" s="15">
        <v>1.7143999999999999</v>
      </c>
      <c r="G10" s="15">
        <f t="shared" si="0"/>
        <v>1.3319999999999999E-2</v>
      </c>
      <c r="H10" s="15">
        <f t="shared" si="1"/>
        <v>-2.3500000000000743E-3</v>
      </c>
      <c r="I10" s="27">
        <v>172.56100000000001</v>
      </c>
    </row>
    <row r="11" spans="1:14">
      <c r="A11" s="9" t="s">
        <v>178</v>
      </c>
      <c r="B11" s="1" t="s">
        <v>19</v>
      </c>
      <c r="C11" s="15">
        <v>1.7223200000000001</v>
      </c>
      <c r="D11" s="15">
        <v>3.6486100000000001</v>
      </c>
      <c r="E11" s="15">
        <v>1.0419499999999999</v>
      </c>
      <c r="F11" s="15">
        <v>1.70865</v>
      </c>
      <c r="G11" s="15">
        <f t="shared" si="0"/>
        <v>6.2449999999999894E-2</v>
      </c>
      <c r="H11" s="15">
        <f t="shared" si="1"/>
        <v>-8.0999999999999961E-3</v>
      </c>
      <c r="I11" s="27">
        <v>174.34200000000001</v>
      </c>
    </row>
    <row r="12" spans="1:14">
      <c r="A12" s="9" t="s">
        <v>180</v>
      </c>
      <c r="B12" s="1" t="s">
        <v>19</v>
      </c>
      <c r="C12" s="15">
        <v>1.7376400000000001</v>
      </c>
      <c r="D12" s="15">
        <v>3.6363699999999999</v>
      </c>
      <c r="E12" s="15">
        <v>1.03495</v>
      </c>
      <c r="F12" s="15">
        <v>1.7075499999999999</v>
      </c>
      <c r="G12" s="15">
        <f t="shared" si="0"/>
        <v>5.5449999999999999E-2</v>
      </c>
      <c r="H12" s="15">
        <f t="shared" si="1"/>
        <v>-9.200000000000097E-3</v>
      </c>
      <c r="I12" s="27">
        <v>175.52</v>
      </c>
    </row>
    <row r="13" spans="1:14">
      <c r="A13" s="9" t="s">
        <v>182</v>
      </c>
      <c r="B13" s="1" t="s">
        <v>19</v>
      </c>
      <c r="C13" s="15">
        <v>1.74224</v>
      </c>
      <c r="D13" s="15">
        <v>3.56473</v>
      </c>
      <c r="E13" s="15">
        <v>1.0303899999999999</v>
      </c>
      <c r="F13" s="15">
        <v>1.7082999999999999</v>
      </c>
      <c r="G13" s="15">
        <f t="shared" si="0"/>
        <v>5.088999999999988E-2</v>
      </c>
      <c r="H13" s="15">
        <f t="shared" si="1"/>
        <v>-8.4500000000000686E-3</v>
      </c>
      <c r="I13" s="27">
        <v>177.50633999999999</v>
      </c>
    </row>
    <row r="14" spans="1:14">
      <c r="A14" s="9" t="s">
        <v>184</v>
      </c>
      <c r="B14" s="1" t="s">
        <v>19</v>
      </c>
      <c r="C14" s="15">
        <v>1.1513599999999999</v>
      </c>
      <c r="D14" s="15">
        <v>3.5600100000000001</v>
      </c>
      <c r="E14" s="15">
        <v>1.64089</v>
      </c>
      <c r="F14" s="15">
        <v>1.7017</v>
      </c>
      <c r="G14" s="15">
        <f t="shared" si="0"/>
        <v>0.66138999999999992</v>
      </c>
      <c r="H14" s="15">
        <f t="shared" si="1"/>
        <v>-1.5050000000000008E-2</v>
      </c>
      <c r="I14" s="27">
        <v>178.19399999999999</v>
      </c>
    </row>
    <row r="15" spans="1:14">
      <c r="A15" s="9" t="s">
        <v>186</v>
      </c>
      <c r="B15" s="1" t="s">
        <v>19</v>
      </c>
      <c r="C15" s="15">
        <v>1.54009</v>
      </c>
      <c r="D15" s="15">
        <v>3.6246999999999998</v>
      </c>
      <c r="E15" s="15">
        <v>1.1193</v>
      </c>
      <c r="F15" s="15">
        <v>1.71061</v>
      </c>
      <c r="G15" s="15">
        <f t="shared" si="0"/>
        <v>0.13979999999999992</v>
      </c>
      <c r="H15" s="15">
        <f t="shared" si="1"/>
        <v>-6.1400000000000343E-3</v>
      </c>
      <c r="I15" s="27">
        <v>169.33799999999999</v>
      </c>
    </row>
    <row r="16" spans="1:14">
      <c r="A16" s="9" t="s">
        <v>188</v>
      </c>
      <c r="B16" s="1" t="s">
        <v>19</v>
      </c>
      <c r="C16" s="15">
        <v>1.49962</v>
      </c>
      <c r="D16" s="15">
        <v>3.5773999999999999</v>
      </c>
      <c r="E16" s="15">
        <v>1.1402000000000001</v>
      </c>
      <c r="F16" s="15">
        <v>1.70723</v>
      </c>
      <c r="G16" s="15">
        <f t="shared" si="0"/>
        <v>0.16070000000000007</v>
      </c>
      <c r="H16" s="15">
        <f t="shared" si="1"/>
        <v>-9.5199999999999729E-3</v>
      </c>
      <c r="I16" s="27">
        <v>175.84800000000001</v>
      </c>
    </row>
    <row r="17" spans="1:9">
      <c r="A17" s="9" t="s">
        <v>190</v>
      </c>
      <c r="B17" s="1" t="s">
        <v>19</v>
      </c>
      <c r="C17" s="15">
        <v>1.11974</v>
      </c>
      <c r="D17" s="15">
        <v>4.21136</v>
      </c>
      <c r="E17" s="15">
        <v>1.75861</v>
      </c>
      <c r="F17" s="15">
        <v>1.7015100000000001</v>
      </c>
      <c r="G17" s="15">
        <f t="shared" si="0"/>
        <v>0.77910999999999997</v>
      </c>
      <c r="H17" s="15">
        <f t="shared" si="1"/>
        <v>-1.523999999999992E-2</v>
      </c>
      <c r="I17" s="27">
        <v>160.107</v>
      </c>
    </row>
    <row r="18" spans="1:9">
      <c r="A18" s="9" t="s">
        <v>192</v>
      </c>
      <c r="B18" s="1" t="s">
        <v>19</v>
      </c>
      <c r="C18" s="15">
        <v>1.8245100000000001</v>
      </c>
      <c r="D18" s="15">
        <v>3.6834699999999998</v>
      </c>
      <c r="E18" s="15">
        <v>1.02471</v>
      </c>
      <c r="F18" s="15">
        <v>1.7115400000000001</v>
      </c>
      <c r="G18" s="15">
        <f t="shared" si="0"/>
        <v>4.5209999999999972E-2</v>
      </c>
      <c r="H18" s="15">
        <f t="shared" si="1"/>
        <v>-5.2099999999999369E-3</v>
      </c>
      <c r="I18" s="27">
        <v>173.89464000000001</v>
      </c>
    </row>
    <row r="19" spans="1:9">
      <c r="A19" s="9" t="s">
        <v>194</v>
      </c>
      <c r="B19" s="1" t="s">
        <v>19</v>
      </c>
      <c r="C19" s="15">
        <v>2.29196</v>
      </c>
      <c r="D19" s="15">
        <v>4.0629499999999998</v>
      </c>
      <c r="E19" s="15">
        <v>0.98521000000000003</v>
      </c>
      <c r="F19" s="15">
        <v>1.7156499999999999</v>
      </c>
      <c r="G19" s="15">
        <f t="shared" si="0"/>
        <v>5.7099999999999929E-3</v>
      </c>
      <c r="H19" s="15">
        <f t="shared" si="1"/>
        <v>-1.1000000000001009E-3</v>
      </c>
      <c r="I19" s="27">
        <v>173.363</v>
      </c>
    </row>
    <row r="20" spans="1:9">
      <c r="A20" s="9" t="s">
        <v>196</v>
      </c>
      <c r="B20" s="1" t="s">
        <v>19</v>
      </c>
      <c r="C20" s="15">
        <v>1.8043800000000001</v>
      </c>
      <c r="D20" s="15">
        <v>3.7304900000000001</v>
      </c>
      <c r="E20" s="15">
        <v>1.02695</v>
      </c>
      <c r="F20" s="15">
        <v>1.7103900000000001</v>
      </c>
      <c r="G20" s="15">
        <f t="shared" si="0"/>
        <v>4.7449999999999992E-2</v>
      </c>
      <c r="H20" s="15">
        <f t="shared" si="1"/>
        <v>-6.3599999999999213E-3</v>
      </c>
      <c r="I20" s="27">
        <v>171.48346000000001</v>
      </c>
    </row>
    <row r="21" spans="1:9">
      <c r="A21" s="9" t="s">
        <v>198</v>
      </c>
      <c r="B21" s="1" t="s">
        <v>19</v>
      </c>
      <c r="C21" s="15">
        <v>1.8029299999999999</v>
      </c>
      <c r="D21" s="15">
        <v>3.7124299999999999</v>
      </c>
      <c r="E21" s="15">
        <v>1.0239499999999999</v>
      </c>
      <c r="F21" s="15">
        <v>1.7107300000000001</v>
      </c>
      <c r="G21" s="15">
        <f t="shared" si="0"/>
        <v>4.4449999999999878E-2</v>
      </c>
      <c r="H21" s="15">
        <f t="shared" si="1"/>
        <v>-6.0199999999999143E-3</v>
      </c>
      <c r="I21" s="27">
        <v>171.29499999999999</v>
      </c>
    </row>
    <row r="22" spans="1:9">
      <c r="A22" s="9" t="s">
        <v>200</v>
      </c>
      <c r="B22" s="1" t="s">
        <v>19</v>
      </c>
      <c r="C22" s="15">
        <v>1.76353</v>
      </c>
      <c r="D22" s="15">
        <v>3.7270599999999998</v>
      </c>
      <c r="E22" s="15">
        <v>1.0306900000000001</v>
      </c>
      <c r="F22" s="15">
        <v>1.7109399999999999</v>
      </c>
      <c r="G22" s="15">
        <f t="shared" si="0"/>
        <v>5.1190000000000069E-2</v>
      </c>
      <c r="H22" s="15">
        <f t="shared" si="1"/>
        <v>-5.8100000000000929E-3</v>
      </c>
      <c r="I22" s="27">
        <v>168.90100000000001</v>
      </c>
    </row>
    <row r="23" spans="1:9">
      <c r="A23" s="9" t="s">
        <v>202</v>
      </c>
      <c r="B23" s="1" t="s">
        <v>19</v>
      </c>
      <c r="C23" s="15">
        <v>1.67736</v>
      </c>
      <c r="D23" s="15">
        <v>3.6943600000000001</v>
      </c>
      <c r="E23" s="15">
        <v>1.0669200000000001</v>
      </c>
      <c r="F23" s="15">
        <v>1.71062</v>
      </c>
      <c r="G23" s="15">
        <f t="shared" si="0"/>
        <v>8.7420000000000053E-2</v>
      </c>
      <c r="H23" s="15">
        <f t="shared" si="1"/>
        <v>-6.1299999999999688E-3</v>
      </c>
      <c r="I23" s="27">
        <v>171.77</v>
      </c>
    </row>
    <row r="24" spans="1:9">
      <c r="A24" s="9" t="s">
        <v>204</v>
      </c>
      <c r="B24" s="1" t="s">
        <v>19</v>
      </c>
      <c r="C24" s="15">
        <v>1.6463399999999999</v>
      </c>
      <c r="D24" s="15">
        <v>3.6034999999999999</v>
      </c>
      <c r="E24" s="15">
        <v>1.0663400000000001</v>
      </c>
      <c r="F24" s="15">
        <v>1.7080299999999999</v>
      </c>
      <c r="G24" s="15">
        <f t="shared" si="0"/>
        <v>8.6840000000000028E-2</v>
      </c>
      <c r="H24" s="15">
        <f t="shared" si="1"/>
        <v>-8.720000000000061E-3</v>
      </c>
      <c r="I24" s="27">
        <v>175.21100000000001</v>
      </c>
    </row>
    <row r="25" spans="1:9">
      <c r="A25" s="9" t="s">
        <v>206</v>
      </c>
      <c r="B25" s="1" t="s">
        <v>19</v>
      </c>
      <c r="C25" s="15">
        <v>1.9522600000000001</v>
      </c>
      <c r="D25" s="15">
        <v>3.8008899999999999</v>
      </c>
      <c r="E25" s="15">
        <v>1.00925</v>
      </c>
      <c r="F25" s="15">
        <v>1.7138</v>
      </c>
      <c r="G25" s="15">
        <f t="shared" si="0"/>
        <v>2.9749999999999943E-2</v>
      </c>
      <c r="H25" s="15">
        <f t="shared" si="1"/>
        <v>-2.9500000000000082E-3</v>
      </c>
      <c r="I25" s="27">
        <v>168.24682000000001</v>
      </c>
    </row>
    <row r="26" spans="1:9">
      <c r="A26" s="9" t="s">
        <v>208</v>
      </c>
      <c r="B26" s="1" t="s">
        <v>19</v>
      </c>
      <c r="C26" s="15">
        <v>1.87374</v>
      </c>
      <c r="D26" s="15">
        <v>3.7998599999999998</v>
      </c>
      <c r="E26" s="15">
        <v>1.0165</v>
      </c>
      <c r="F26" s="15">
        <v>1.71208</v>
      </c>
      <c r="G26" s="15">
        <f t="shared" si="0"/>
        <v>3.6999999999999922E-2</v>
      </c>
      <c r="H26" s="15">
        <f t="shared" si="1"/>
        <v>-4.669999999999952E-3</v>
      </c>
      <c r="I26" s="27">
        <v>168.14049</v>
      </c>
    </row>
    <row r="27" spans="1:9">
      <c r="A27" s="9" t="s">
        <v>210</v>
      </c>
      <c r="B27" s="1" t="s">
        <v>19</v>
      </c>
      <c r="C27" s="15">
        <v>1.85755</v>
      </c>
      <c r="D27" s="15">
        <v>3.8048500000000001</v>
      </c>
      <c r="E27" s="15">
        <v>1.0162599999999999</v>
      </c>
      <c r="F27" s="15">
        <v>1.7128699999999999</v>
      </c>
      <c r="G27" s="15">
        <f t="shared" si="0"/>
        <v>3.6759999999999904E-2</v>
      </c>
      <c r="H27" s="15">
        <f t="shared" si="1"/>
        <v>-3.8800000000001056E-3</v>
      </c>
      <c r="I27" s="27">
        <v>167.44800000000001</v>
      </c>
    </row>
    <row r="28" spans="1:9">
      <c r="A28" s="9" t="s">
        <v>212</v>
      </c>
      <c r="B28" s="1" t="s">
        <v>19</v>
      </c>
      <c r="C28" s="15">
        <v>1.7921800000000001</v>
      </c>
      <c r="D28" s="15">
        <v>3.7749299999999999</v>
      </c>
      <c r="E28" s="15">
        <v>1.02576</v>
      </c>
      <c r="F28" s="15">
        <v>1.71217</v>
      </c>
      <c r="G28" s="15">
        <f t="shared" si="0"/>
        <v>4.6259999999999968E-2</v>
      </c>
      <c r="H28" s="15">
        <f t="shared" si="1"/>
        <v>-4.5800000000000285E-3</v>
      </c>
      <c r="I28" s="27">
        <v>167.14500000000001</v>
      </c>
    </row>
    <row r="29" spans="1:9">
      <c r="A29" s="10" t="s">
        <v>214</v>
      </c>
      <c r="B29" s="1" t="s">
        <v>19</v>
      </c>
      <c r="C29" s="15">
        <v>1.6596900000000001</v>
      </c>
      <c r="D29" s="15">
        <v>3.54705</v>
      </c>
      <c r="E29" s="15">
        <v>1.05704</v>
      </c>
      <c r="F29" s="15">
        <v>1.70689</v>
      </c>
      <c r="G29" s="15">
        <f t="shared" si="0"/>
        <v>7.7539999999999942E-2</v>
      </c>
      <c r="H29" s="15">
        <f t="shared" si="1"/>
        <v>-9.8599999999999799E-3</v>
      </c>
      <c r="I29" s="27">
        <v>177.077</v>
      </c>
    </row>
    <row r="30" spans="1:9">
      <c r="A30" s="9" t="s">
        <v>159</v>
      </c>
      <c r="B30" s="1" t="s">
        <v>216</v>
      </c>
      <c r="C30" s="15">
        <v>4.4819199999999997</v>
      </c>
      <c r="D30" s="15">
        <v>2.2820299999999998</v>
      </c>
      <c r="E30" s="15">
        <v>0.97675999999999996</v>
      </c>
      <c r="F30" s="15">
        <v>1.91425</v>
      </c>
      <c r="G30" s="15">
        <f t="shared" si="0"/>
        <v>-2.7400000000000757E-3</v>
      </c>
      <c r="H30" s="15">
        <f t="shared" si="1"/>
        <v>0.19750000000000001</v>
      </c>
      <c r="I30" s="27">
        <v>174.863</v>
      </c>
    </row>
    <row r="31" spans="1:9">
      <c r="A31" s="9" t="s">
        <v>161</v>
      </c>
      <c r="B31" s="1" t="s">
        <v>216</v>
      </c>
      <c r="C31" s="15">
        <v>4.3575699999999999</v>
      </c>
      <c r="D31" s="15">
        <v>2.1210900000000001</v>
      </c>
      <c r="E31" s="15">
        <v>0.97624999999999995</v>
      </c>
      <c r="F31" s="15">
        <v>1.9962800000000001</v>
      </c>
      <c r="G31" s="15">
        <f t="shared" si="0"/>
        <v>-3.2500000000000862E-3</v>
      </c>
      <c r="H31" s="15">
        <f t="shared" si="1"/>
        <v>0.27953000000000006</v>
      </c>
      <c r="I31" s="27">
        <v>176.35300000000001</v>
      </c>
    </row>
    <row r="32" spans="1:9">
      <c r="A32" s="9" t="s">
        <v>163</v>
      </c>
      <c r="B32" s="1" t="s">
        <v>216</v>
      </c>
      <c r="C32" s="15">
        <v>4.4453699999999996</v>
      </c>
      <c r="D32" s="15">
        <v>2.2205900000000001</v>
      </c>
      <c r="E32" s="15">
        <v>0.97643999999999997</v>
      </c>
      <c r="F32" s="15">
        <v>1.9311499999999999</v>
      </c>
      <c r="G32" s="15">
        <f t="shared" si="0"/>
        <v>-3.0600000000000627E-3</v>
      </c>
      <c r="H32" s="15">
        <f t="shared" si="1"/>
        <v>0.21439999999999992</v>
      </c>
      <c r="I32" s="27">
        <v>175.58600000000001</v>
      </c>
    </row>
    <row r="33" spans="1:9">
      <c r="A33" s="9" t="s">
        <v>165</v>
      </c>
      <c r="B33" s="1" t="s">
        <v>216</v>
      </c>
      <c r="C33" s="15">
        <v>4.9190100000000001</v>
      </c>
      <c r="D33" s="15">
        <v>2.8746700000000001</v>
      </c>
      <c r="E33" s="15">
        <v>0.97879000000000005</v>
      </c>
      <c r="F33" s="15">
        <v>1.7313000000000001</v>
      </c>
      <c r="G33" s="15">
        <f t="shared" si="0"/>
        <v>-7.0999999999998842E-4</v>
      </c>
      <c r="H33" s="15">
        <f t="shared" si="1"/>
        <v>1.4550000000000063E-2</v>
      </c>
      <c r="I33" s="27">
        <v>178.4</v>
      </c>
    </row>
    <row r="34" spans="1:9">
      <c r="A34" s="9" t="s">
        <v>167</v>
      </c>
      <c r="B34" s="1" t="s">
        <v>216</v>
      </c>
      <c r="C34" s="15">
        <v>5.2166699999999997</v>
      </c>
      <c r="D34" s="15">
        <v>3.19157</v>
      </c>
      <c r="E34" s="15">
        <v>0.97887000000000002</v>
      </c>
      <c r="F34" s="15">
        <v>1.7228699999999999</v>
      </c>
      <c r="G34" s="15">
        <f t="shared" si="0"/>
        <v>-6.3000000000001943E-4</v>
      </c>
      <c r="H34" s="15">
        <f t="shared" si="1"/>
        <v>6.1199999999999033E-3</v>
      </c>
      <c r="I34" s="27">
        <v>179.07300000000001</v>
      </c>
    </row>
    <row r="35" spans="1:9">
      <c r="A35" s="9" t="s">
        <v>169</v>
      </c>
      <c r="B35" s="1" t="s">
        <v>216</v>
      </c>
      <c r="C35" s="15">
        <v>4.5135699999999996</v>
      </c>
      <c r="D35" s="15">
        <v>2.4343499999999998</v>
      </c>
      <c r="E35" s="15">
        <v>0.97814999999999996</v>
      </c>
      <c r="F35" s="15">
        <v>1.77129</v>
      </c>
      <c r="G35" s="15">
        <f t="shared" si="0"/>
        <v>-1.3500000000000734E-3</v>
      </c>
      <c r="H35" s="15">
        <f t="shared" si="1"/>
        <v>5.4540000000000033E-2</v>
      </c>
      <c r="I35" s="27">
        <v>178.86799999999999</v>
      </c>
    </row>
    <row r="36" spans="1:9">
      <c r="A36" s="9" t="s">
        <v>171</v>
      </c>
      <c r="B36" s="1" t="s">
        <v>216</v>
      </c>
      <c r="C36" s="15">
        <v>4.4338499999999996</v>
      </c>
      <c r="D36" s="15">
        <v>2.2866900000000001</v>
      </c>
      <c r="E36" s="15">
        <v>0.97709000000000001</v>
      </c>
      <c r="F36" s="15">
        <v>1.8571599999999999</v>
      </c>
      <c r="G36" s="15">
        <f t="shared" si="0"/>
        <v>-2.4100000000000232E-3</v>
      </c>
      <c r="H36" s="15">
        <f t="shared" si="1"/>
        <v>0.14040999999999992</v>
      </c>
      <c r="I36" s="27">
        <v>177.886</v>
      </c>
    </row>
    <row r="37" spans="1:9">
      <c r="A37" s="9" t="s">
        <v>173</v>
      </c>
      <c r="B37" s="1" t="s">
        <v>216</v>
      </c>
      <c r="C37" s="15">
        <v>4.6602100000000002</v>
      </c>
      <c r="D37" s="15">
        <v>2.6006</v>
      </c>
      <c r="E37" s="15">
        <v>0.97846</v>
      </c>
      <c r="F37" s="15">
        <v>1.75088</v>
      </c>
      <c r="G37" s="15">
        <f t="shared" si="0"/>
        <v>-1.0400000000000409E-3</v>
      </c>
      <c r="H37" s="15">
        <f t="shared" si="1"/>
        <v>3.4129999999999994E-2</v>
      </c>
      <c r="I37" s="27">
        <v>176.852</v>
      </c>
    </row>
    <row r="38" spans="1:9">
      <c r="A38" s="9" t="s">
        <v>175</v>
      </c>
      <c r="B38" s="1" t="s">
        <v>216</v>
      </c>
      <c r="C38" s="15">
        <v>4.7122999999999999</v>
      </c>
      <c r="D38" s="15">
        <v>2.6632199999999999</v>
      </c>
      <c r="E38" s="15">
        <v>0.97863999999999995</v>
      </c>
      <c r="F38" s="15">
        <v>1.74698</v>
      </c>
      <c r="G38" s="15">
        <f t="shared" si="0"/>
        <v>-8.6000000000008292E-4</v>
      </c>
      <c r="H38" s="15">
        <f t="shared" si="1"/>
        <v>3.0229999999999979E-2</v>
      </c>
      <c r="I38" s="27">
        <v>175.33967999999999</v>
      </c>
    </row>
    <row r="39" spans="1:9">
      <c r="A39" s="9" t="s">
        <v>177</v>
      </c>
      <c r="B39" s="1" t="s">
        <v>216</v>
      </c>
      <c r="C39" s="15">
        <v>4.4129899999999997</v>
      </c>
      <c r="D39" s="15">
        <v>2.2405499999999998</v>
      </c>
      <c r="E39" s="15">
        <v>0.97699000000000003</v>
      </c>
      <c r="F39" s="15">
        <v>1.87842</v>
      </c>
      <c r="G39" s="15">
        <f t="shared" si="0"/>
        <v>-2.5100000000000122E-3</v>
      </c>
      <c r="H39" s="15">
        <f t="shared" si="1"/>
        <v>0.16166999999999998</v>
      </c>
      <c r="I39" s="27">
        <v>176.98400000000001</v>
      </c>
    </row>
    <row r="40" spans="1:9">
      <c r="A40" s="9" t="s">
        <v>179</v>
      </c>
      <c r="B40" s="1" t="s">
        <v>216</v>
      </c>
      <c r="C40" s="15">
        <v>4.4038000000000004</v>
      </c>
      <c r="D40" s="15">
        <v>2.2517399999999999</v>
      </c>
      <c r="E40" s="15">
        <v>0.97697999999999996</v>
      </c>
      <c r="F40" s="15">
        <v>1.87171</v>
      </c>
      <c r="G40" s="15">
        <f t="shared" si="0"/>
        <v>-2.5200000000000777E-3</v>
      </c>
      <c r="H40" s="15">
        <f t="shared" si="1"/>
        <v>0.15495999999999999</v>
      </c>
      <c r="I40" s="27">
        <v>179.02590000000001</v>
      </c>
    </row>
    <row r="41" spans="1:9">
      <c r="A41" s="9" t="s">
        <v>181</v>
      </c>
      <c r="B41" s="1" t="s">
        <v>216</v>
      </c>
      <c r="C41" s="15">
        <v>4.3822200000000002</v>
      </c>
      <c r="D41" s="15">
        <v>2.22756</v>
      </c>
      <c r="E41" s="15">
        <v>0.97689000000000004</v>
      </c>
      <c r="F41" s="15">
        <v>1.86022</v>
      </c>
      <c r="G41" s="15">
        <f t="shared" si="0"/>
        <v>-2.6100000000000012E-3</v>
      </c>
      <c r="H41" s="15">
        <f t="shared" si="1"/>
        <v>0.14346999999999999</v>
      </c>
      <c r="I41" s="27">
        <v>177.39599999999999</v>
      </c>
    </row>
    <row r="42" spans="1:9">
      <c r="A42" s="9" t="s">
        <v>183</v>
      </c>
      <c r="B42" s="1" t="s">
        <v>216</v>
      </c>
      <c r="C42" s="15">
        <v>4.3497700000000004</v>
      </c>
      <c r="D42" s="15">
        <v>2.0447299999999999</v>
      </c>
      <c r="E42" s="15">
        <v>0.97606999999999999</v>
      </c>
      <c r="F42" s="15">
        <v>2.0493299999999999</v>
      </c>
      <c r="G42" s="15">
        <f t="shared" si="0"/>
        <v>-3.4300000000000441E-3</v>
      </c>
      <c r="H42" s="15">
        <f t="shared" si="1"/>
        <v>0.33257999999999988</v>
      </c>
      <c r="I42" s="27">
        <v>178.958</v>
      </c>
    </row>
    <row r="43" spans="1:9">
      <c r="A43" s="9" t="s">
        <v>185</v>
      </c>
      <c r="B43" s="1" t="s">
        <v>216</v>
      </c>
      <c r="C43" s="15">
        <v>4.4092399999999996</v>
      </c>
      <c r="D43" s="15">
        <v>2.13049</v>
      </c>
      <c r="E43" s="15">
        <v>0.97628999999999999</v>
      </c>
      <c r="F43" s="15">
        <v>2.0041799999999999</v>
      </c>
      <c r="G43" s="15">
        <f t="shared" si="0"/>
        <v>-3.2100000000000461E-3</v>
      </c>
      <c r="H43" s="15">
        <f t="shared" si="1"/>
        <v>0.28742999999999985</v>
      </c>
      <c r="I43" s="27">
        <v>176.70088999999999</v>
      </c>
    </row>
    <row r="44" spans="1:9">
      <c r="A44" s="21" t="s">
        <v>187</v>
      </c>
      <c r="B44" s="1" t="s">
        <v>216</v>
      </c>
      <c r="C44" s="15">
        <v>4.39072</v>
      </c>
      <c r="D44" s="15">
        <v>2.14411</v>
      </c>
      <c r="E44" s="15">
        <v>0.97602</v>
      </c>
      <c r="F44" s="15">
        <v>1.9910300000000001</v>
      </c>
      <c r="G44" s="15">
        <f t="shared" si="0"/>
        <v>-3.4800000000000386E-3</v>
      </c>
      <c r="H44" s="15">
        <f t="shared" si="1"/>
        <v>0.27428000000000008</v>
      </c>
      <c r="I44" s="27">
        <v>177.15799999999999</v>
      </c>
    </row>
    <row r="45" spans="1:9">
      <c r="A45" s="9" t="s">
        <v>189</v>
      </c>
      <c r="B45" s="1" t="s">
        <v>216</v>
      </c>
      <c r="C45" s="15">
        <v>4.3645699999999996</v>
      </c>
      <c r="D45" s="15">
        <v>2.0689500000000001</v>
      </c>
      <c r="E45" s="15">
        <v>0.97614000000000001</v>
      </c>
      <c r="F45" s="15">
        <v>2.0226000000000002</v>
      </c>
      <c r="G45" s="15">
        <f t="shared" si="0"/>
        <v>-3.3600000000000296E-3</v>
      </c>
      <c r="H45" s="15">
        <f t="shared" si="1"/>
        <v>0.30585000000000018</v>
      </c>
      <c r="I45" s="27">
        <v>175.99826999999999</v>
      </c>
    </row>
    <row r="46" spans="1:9">
      <c r="A46" s="9" t="s">
        <v>191</v>
      </c>
      <c r="B46" s="1" t="s">
        <v>216</v>
      </c>
      <c r="C46" s="15">
        <v>4.5751900000000001</v>
      </c>
      <c r="D46" s="15">
        <v>2.4419400000000002</v>
      </c>
      <c r="E46" s="15">
        <v>0.97733999999999999</v>
      </c>
      <c r="F46" s="15">
        <v>1.82372</v>
      </c>
      <c r="G46" s="15">
        <f t="shared" si="0"/>
        <v>-2.1600000000000508E-3</v>
      </c>
      <c r="H46" s="15">
        <f t="shared" si="1"/>
        <v>0.10697000000000001</v>
      </c>
      <c r="I46" s="27">
        <v>176.22366</v>
      </c>
    </row>
    <row r="47" spans="1:9">
      <c r="A47" s="9" t="s">
        <v>193</v>
      </c>
      <c r="B47" s="1" t="s">
        <v>216</v>
      </c>
      <c r="C47" s="15">
        <v>5.0355600000000003</v>
      </c>
      <c r="D47" s="15">
        <v>3.0033099999999999</v>
      </c>
      <c r="E47" s="15">
        <v>0.97887999999999997</v>
      </c>
      <c r="F47" s="15">
        <v>1.7269600000000001</v>
      </c>
      <c r="G47" s="15">
        <f t="shared" si="0"/>
        <v>-6.2000000000006494E-4</v>
      </c>
      <c r="H47" s="15">
        <f t="shared" si="1"/>
        <v>1.0210000000000052E-2</v>
      </c>
      <c r="I47" s="27">
        <v>177.393</v>
      </c>
    </row>
    <row r="48" spans="1:9">
      <c r="A48" s="9" t="s">
        <v>195</v>
      </c>
      <c r="B48" s="1" t="s">
        <v>216</v>
      </c>
      <c r="C48" s="15">
        <v>4.5493100000000002</v>
      </c>
      <c r="D48" s="15">
        <v>2.4016500000000001</v>
      </c>
      <c r="E48" s="15">
        <v>0.97728000000000004</v>
      </c>
      <c r="F48" s="15">
        <v>1.8364799999999999</v>
      </c>
      <c r="G48" s="15">
        <f t="shared" si="0"/>
        <v>-2.2199999999999998E-3</v>
      </c>
      <c r="H48" s="15">
        <f t="shared" si="1"/>
        <v>0.11972999999999989</v>
      </c>
      <c r="I48" s="27">
        <v>175.47399999999999</v>
      </c>
    </row>
    <row r="49" spans="1:9">
      <c r="A49" s="9" t="s">
        <v>197</v>
      </c>
      <c r="B49" s="1" t="s">
        <v>216</v>
      </c>
      <c r="C49" s="15">
        <v>4.5248699999999999</v>
      </c>
      <c r="D49" s="15">
        <v>2.3981499999999998</v>
      </c>
      <c r="E49" s="15">
        <v>0.97724</v>
      </c>
      <c r="F49" s="15">
        <v>1.8285800000000001</v>
      </c>
      <c r="G49" s="15">
        <f t="shared" si="0"/>
        <v>-2.2600000000000398E-3</v>
      </c>
      <c r="H49" s="15">
        <f t="shared" si="1"/>
        <v>0.1118300000000001</v>
      </c>
      <c r="I49" s="27">
        <v>177.494</v>
      </c>
    </row>
    <row r="50" spans="1:9">
      <c r="A50" s="9" t="s">
        <v>199</v>
      </c>
      <c r="B50" s="1" t="s">
        <v>216</v>
      </c>
      <c r="C50" s="15">
        <v>4.4470999999999998</v>
      </c>
      <c r="D50" s="15">
        <v>2.2936999999999999</v>
      </c>
      <c r="E50" s="15">
        <v>0.97707999999999995</v>
      </c>
      <c r="F50" s="15">
        <v>1.8552500000000001</v>
      </c>
      <c r="G50" s="15">
        <f t="shared" si="0"/>
        <v>-2.4200000000000887E-3</v>
      </c>
      <c r="H50" s="15">
        <f t="shared" si="1"/>
        <v>0.13850000000000007</v>
      </c>
      <c r="I50" s="27">
        <v>175.95006000000001</v>
      </c>
    </row>
    <row r="51" spans="1:9">
      <c r="A51" s="9" t="s">
        <v>201</v>
      </c>
      <c r="B51" s="1" t="s">
        <v>216</v>
      </c>
      <c r="C51" s="15">
        <v>4.4496200000000004</v>
      </c>
      <c r="D51" s="15">
        <v>2.25048</v>
      </c>
      <c r="E51" s="15">
        <v>0.97653999999999996</v>
      </c>
      <c r="F51" s="15">
        <v>1.9322900000000001</v>
      </c>
      <c r="G51" s="15">
        <f t="shared" si="0"/>
        <v>-2.9600000000000737E-3</v>
      </c>
      <c r="H51" s="15">
        <f t="shared" si="1"/>
        <v>0.21554000000000006</v>
      </c>
      <c r="I51" s="27">
        <v>178.89599999999999</v>
      </c>
    </row>
    <row r="52" spans="1:9">
      <c r="A52" s="9" t="s">
        <v>203</v>
      </c>
      <c r="B52" s="1" t="s">
        <v>216</v>
      </c>
      <c r="C52" s="15">
        <v>4.4067600000000002</v>
      </c>
      <c r="D52" s="15">
        <v>2.1856200000000001</v>
      </c>
      <c r="E52" s="15">
        <v>0.97614000000000001</v>
      </c>
      <c r="F52" s="15">
        <v>1.9417</v>
      </c>
      <c r="G52" s="15">
        <f t="shared" si="0"/>
        <v>-3.3600000000000296E-3</v>
      </c>
      <c r="H52" s="15">
        <f t="shared" si="1"/>
        <v>0.22494999999999998</v>
      </c>
      <c r="I52" s="27">
        <v>177.16200000000001</v>
      </c>
    </row>
    <row r="53" spans="1:9">
      <c r="A53" s="9" t="s">
        <v>205</v>
      </c>
      <c r="B53" s="1" t="s">
        <v>216</v>
      </c>
      <c r="C53" s="15">
        <v>4.6360099999999997</v>
      </c>
      <c r="D53" s="15">
        <v>2.5159400000000001</v>
      </c>
      <c r="E53" s="15">
        <v>0.97777000000000003</v>
      </c>
      <c r="F53" s="15">
        <v>1.80586</v>
      </c>
      <c r="G53" s="15">
        <f t="shared" si="0"/>
        <v>-1.7300000000000093E-3</v>
      </c>
      <c r="H53" s="15">
        <f t="shared" si="1"/>
        <v>8.9110000000000023E-2</v>
      </c>
      <c r="I53" s="27">
        <v>174.99700000000001</v>
      </c>
    </row>
    <row r="54" spans="1:9">
      <c r="A54" s="9" t="s">
        <v>207</v>
      </c>
      <c r="B54" s="1" t="s">
        <v>216</v>
      </c>
      <c r="C54" s="15">
        <v>4.5805199999999999</v>
      </c>
      <c r="D54" s="15">
        <v>2.43865</v>
      </c>
      <c r="E54" s="15">
        <v>0.97760999999999998</v>
      </c>
      <c r="F54" s="15">
        <v>1.82786</v>
      </c>
      <c r="G54" s="15">
        <f t="shared" si="0"/>
        <v>-1.8900000000000583E-3</v>
      </c>
      <c r="H54" s="15">
        <f t="shared" si="1"/>
        <v>0.11111000000000004</v>
      </c>
      <c r="I54" s="27">
        <v>174.95699999999999</v>
      </c>
    </row>
    <row r="55" spans="1:9">
      <c r="A55" s="9" t="s">
        <v>209</v>
      </c>
      <c r="B55" s="1" t="s">
        <v>216</v>
      </c>
      <c r="C55" s="15">
        <v>4.5282999999999998</v>
      </c>
      <c r="D55" s="15">
        <v>2.40157</v>
      </c>
      <c r="E55" s="15">
        <v>0.97751999999999994</v>
      </c>
      <c r="F55" s="15">
        <v>1.8295699999999999</v>
      </c>
      <c r="G55" s="15">
        <f t="shared" si="0"/>
        <v>-1.9800000000000928E-3</v>
      </c>
      <c r="H55" s="15">
        <f t="shared" si="1"/>
        <v>0.11281999999999992</v>
      </c>
      <c r="I55" s="27">
        <v>177.27381</v>
      </c>
    </row>
    <row r="56" spans="1:9">
      <c r="A56" s="9" t="s">
        <v>211</v>
      </c>
      <c r="B56" s="1" t="s">
        <v>216</v>
      </c>
      <c r="C56" s="15">
        <v>4.4062099999999997</v>
      </c>
      <c r="D56" s="15">
        <v>2.2401300000000002</v>
      </c>
      <c r="E56" s="15">
        <v>0.97724999999999995</v>
      </c>
      <c r="F56" s="15">
        <v>1.87435</v>
      </c>
      <c r="G56" s="15">
        <f t="shared" si="0"/>
        <v>-2.2500000000000853E-3</v>
      </c>
      <c r="H56" s="15">
        <f t="shared" si="1"/>
        <v>0.15759999999999996</v>
      </c>
      <c r="I56" s="27">
        <v>174.548</v>
      </c>
    </row>
    <row r="57" spans="1:9">
      <c r="A57" s="10" t="s">
        <v>213</v>
      </c>
      <c r="B57" s="1" t="s">
        <v>216</v>
      </c>
      <c r="C57" s="15">
        <v>4.3721399999999999</v>
      </c>
      <c r="D57" s="15">
        <v>2.1723499999999998</v>
      </c>
      <c r="E57" s="15">
        <v>0.97611000000000003</v>
      </c>
      <c r="F57" s="15">
        <v>1.9265099999999999</v>
      </c>
      <c r="G57" s="15">
        <f t="shared" si="0"/>
        <v>-3.3900000000000041E-3</v>
      </c>
      <c r="H57" s="15">
        <f t="shared" si="1"/>
        <v>0.20975999999999995</v>
      </c>
      <c r="I57" s="27">
        <v>178.095</v>
      </c>
    </row>
    <row r="59" spans="1:9">
      <c r="A59" s="2" t="s">
        <v>16</v>
      </c>
      <c r="E59" s="15">
        <v>0.97950000000000004</v>
      </c>
      <c r="F59" s="15">
        <v>1.71675</v>
      </c>
    </row>
  </sheetData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"/>
  <sheetViews>
    <sheetView workbookViewId="0">
      <selection activeCell="F1" activeCellId="1" sqref="C1:C1048576 F1:F1048576"/>
    </sheetView>
  </sheetViews>
  <sheetFormatPr defaultRowHeight="28.5"/>
  <cols>
    <col min="1" max="1" width="9.06640625" style="33"/>
    <col min="2" max="2" width="47.1328125" style="34" customWidth="1"/>
    <col min="3" max="3" width="14.3984375" style="46" customWidth="1"/>
    <col min="4" max="4" width="9.06640625" style="34"/>
    <col min="5" max="5" width="47.1328125" style="34" customWidth="1"/>
    <col min="6" max="6" width="15.46484375" style="46" customWidth="1"/>
    <col min="7" max="35" width="9.06640625" style="1"/>
  </cols>
  <sheetData>
    <row r="1" spans="1:6">
      <c r="C1" s="46" t="s">
        <v>17</v>
      </c>
      <c r="F1" s="46" t="s">
        <v>17</v>
      </c>
    </row>
    <row r="2" spans="1:6" ht="60" customHeight="1">
      <c r="A2" s="35"/>
      <c r="B2" s="36" t="s">
        <v>159</v>
      </c>
      <c r="C2" s="46">
        <v>-34.33</v>
      </c>
      <c r="E2" s="36" t="s">
        <v>160</v>
      </c>
      <c r="F2" s="46">
        <v>-11.28</v>
      </c>
    </row>
    <row r="3" spans="1:6" ht="60" customHeight="1">
      <c r="A3" s="35"/>
      <c r="B3" s="36" t="s">
        <v>161</v>
      </c>
      <c r="C3" s="46">
        <v>-60.05</v>
      </c>
      <c r="E3" s="36" t="s">
        <v>162</v>
      </c>
      <c r="F3" s="46">
        <v>-28.5</v>
      </c>
    </row>
    <row r="4" spans="1:6" ht="60" customHeight="1">
      <c r="A4" s="35"/>
      <c r="B4" s="36" t="s">
        <v>163</v>
      </c>
      <c r="C4" s="46">
        <v>-41.44</v>
      </c>
      <c r="E4" s="36" t="s">
        <v>164</v>
      </c>
      <c r="F4" s="46">
        <v>-139.37</v>
      </c>
    </row>
    <row r="5" spans="1:6" ht="60" customHeight="1">
      <c r="A5" s="35"/>
      <c r="B5" s="36" t="s">
        <v>165</v>
      </c>
      <c r="C5" s="46">
        <v>-3.64</v>
      </c>
      <c r="E5" s="36" t="s">
        <v>166</v>
      </c>
      <c r="F5" s="46">
        <v>-3.62</v>
      </c>
    </row>
    <row r="6" spans="1:6" ht="60" customHeight="1">
      <c r="A6" s="35"/>
      <c r="B6" s="36" t="s">
        <v>167</v>
      </c>
      <c r="C6" s="46">
        <v>-1.39</v>
      </c>
      <c r="E6" s="36" t="s">
        <v>168</v>
      </c>
      <c r="F6" s="46">
        <v>-1.76</v>
      </c>
    </row>
    <row r="7" spans="1:6" ht="60" customHeight="1">
      <c r="A7" s="35"/>
      <c r="B7" s="36" t="s">
        <v>169</v>
      </c>
      <c r="C7" s="46">
        <v>-13.64</v>
      </c>
      <c r="E7" s="36" t="s">
        <v>170</v>
      </c>
      <c r="F7" s="46">
        <v>-6.88</v>
      </c>
    </row>
    <row r="8" spans="1:6" ht="60" customHeight="1">
      <c r="A8" s="35"/>
      <c r="B8" s="36" t="s">
        <v>171</v>
      </c>
      <c r="C8" s="46">
        <v>-30.06</v>
      </c>
      <c r="E8" s="36" t="s">
        <v>172</v>
      </c>
      <c r="F8" s="46">
        <v>-14.57</v>
      </c>
    </row>
    <row r="9" spans="1:6" ht="60" customHeight="1">
      <c r="A9" s="35"/>
      <c r="B9" s="36" t="s">
        <v>173</v>
      </c>
      <c r="C9" s="46">
        <v>-8.14</v>
      </c>
      <c r="E9" s="36" t="s">
        <v>174</v>
      </c>
      <c r="F9" s="46">
        <v>-5.19</v>
      </c>
    </row>
    <row r="10" spans="1:6" ht="60" customHeight="1">
      <c r="A10" s="35"/>
      <c r="B10" s="36" t="s">
        <v>175</v>
      </c>
      <c r="C10" s="46">
        <v>-6.65</v>
      </c>
      <c r="E10" s="36" t="s">
        <v>176</v>
      </c>
      <c r="F10" s="46">
        <v>-4.2300000000000004</v>
      </c>
    </row>
    <row r="11" spans="1:6" ht="60" customHeight="1">
      <c r="A11" s="35"/>
      <c r="B11" s="36" t="s">
        <v>177</v>
      </c>
      <c r="C11" s="46">
        <v>-33.56</v>
      </c>
      <c r="E11" s="36" t="s">
        <v>178</v>
      </c>
      <c r="F11" s="46">
        <v>-15.29</v>
      </c>
    </row>
    <row r="12" spans="1:6" ht="60" customHeight="1">
      <c r="A12" s="35"/>
      <c r="B12" s="36" t="s">
        <v>179</v>
      </c>
      <c r="C12" s="46">
        <v>-32.32</v>
      </c>
      <c r="E12" s="36" t="s">
        <v>180</v>
      </c>
      <c r="F12" s="46">
        <v>-13.87</v>
      </c>
    </row>
    <row r="13" spans="1:6" ht="60" customHeight="1">
      <c r="A13" s="35"/>
      <c r="B13" s="36" t="s">
        <v>181</v>
      </c>
      <c r="C13" s="46">
        <v>-32.31</v>
      </c>
      <c r="E13" s="36" t="s">
        <v>182</v>
      </c>
      <c r="F13" s="46">
        <v>-13.09</v>
      </c>
    </row>
    <row r="14" spans="1:6" ht="60" customHeight="1">
      <c r="A14" s="35"/>
      <c r="B14" s="36" t="s">
        <v>183</v>
      </c>
      <c r="C14" s="46">
        <v>-70.63</v>
      </c>
      <c r="E14" s="36" t="s">
        <v>184</v>
      </c>
      <c r="F14" s="46">
        <v>-115.8</v>
      </c>
    </row>
    <row r="15" spans="1:6" ht="60" customHeight="1">
      <c r="A15" s="35"/>
      <c r="B15" s="36" t="s">
        <v>185</v>
      </c>
      <c r="C15" s="46">
        <v>-56.39</v>
      </c>
      <c r="E15" s="36" t="s">
        <v>186</v>
      </c>
      <c r="F15" s="46">
        <v>-30.05</v>
      </c>
    </row>
    <row r="16" spans="1:6" ht="60" customHeight="1">
      <c r="A16" s="35"/>
      <c r="B16" s="36" t="s">
        <v>187</v>
      </c>
      <c r="C16" s="46">
        <v>-54</v>
      </c>
      <c r="E16" s="36" t="s">
        <v>188</v>
      </c>
      <c r="F16" s="46">
        <v>-34.799999999999997</v>
      </c>
    </row>
    <row r="17" spans="1:6" ht="60" customHeight="1">
      <c r="A17" s="35"/>
      <c r="B17" s="36" t="s">
        <v>189</v>
      </c>
      <c r="C17" s="46">
        <v>-66.510000000000005</v>
      </c>
      <c r="E17" s="36" t="s">
        <v>190</v>
      </c>
      <c r="F17" s="46">
        <v>-140.1</v>
      </c>
    </row>
    <row r="18" spans="1:6" ht="60" customHeight="1">
      <c r="A18" s="35"/>
      <c r="B18" s="36" t="s">
        <v>191</v>
      </c>
      <c r="C18" s="46">
        <v>-20.350000000000001</v>
      </c>
      <c r="E18" s="36" t="s">
        <v>192</v>
      </c>
      <c r="F18" s="46">
        <v>-11.68</v>
      </c>
    </row>
    <row r="19" spans="1:6" ht="60" customHeight="1">
      <c r="A19" s="35"/>
      <c r="B19" s="36" t="s">
        <v>193</v>
      </c>
      <c r="C19" s="46">
        <v>-2.54</v>
      </c>
      <c r="E19" s="36" t="s">
        <v>194</v>
      </c>
      <c r="F19" s="46">
        <v>-2.2999999999999998</v>
      </c>
    </row>
    <row r="20" spans="1:6" ht="60" customHeight="1">
      <c r="A20" s="35"/>
      <c r="B20" s="36" t="s">
        <v>195</v>
      </c>
      <c r="C20" s="46">
        <v>-21.68</v>
      </c>
      <c r="E20" s="36" t="s">
        <v>196</v>
      </c>
      <c r="F20" s="46">
        <v>-12.03</v>
      </c>
    </row>
    <row r="21" spans="1:6" ht="60" customHeight="1">
      <c r="A21" s="35"/>
      <c r="B21" s="36" t="s">
        <v>197</v>
      </c>
      <c r="C21" s="46">
        <v>-21.49</v>
      </c>
      <c r="E21" s="36" t="s">
        <v>198</v>
      </c>
      <c r="F21" s="46">
        <v>-11.54</v>
      </c>
    </row>
    <row r="22" spans="1:6" ht="60" customHeight="1">
      <c r="A22" s="35"/>
      <c r="B22" s="36" t="s">
        <v>199</v>
      </c>
      <c r="C22" s="46">
        <v>-28.33</v>
      </c>
      <c r="E22" s="36" t="s">
        <v>200</v>
      </c>
      <c r="F22" s="46">
        <v>-13.1</v>
      </c>
    </row>
    <row r="23" spans="1:6" ht="60" customHeight="1">
      <c r="A23" s="35"/>
      <c r="B23" s="36" t="s">
        <v>201</v>
      </c>
      <c r="C23" s="46">
        <v>-41.73</v>
      </c>
      <c r="E23" s="36" t="s">
        <v>202</v>
      </c>
      <c r="F23" s="46">
        <v>-20.55</v>
      </c>
    </row>
    <row r="24" spans="1:6" ht="60" customHeight="1">
      <c r="A24" s="35"/>
      <c r="B24" s="36" t="s">
        <v>203</v>
      </c>
      <c r="C24" s="46">
        <v>-46.05</v>
      </c>
      <c r="E24" s="36" t="s">
        <v>204</v>
      </c>
      <c r="F24" s="46">
        <v>-20.72</v>
      </c>
    </row>
    <row r="25" spans="1:6" ht="60" customHeight="1">
      <c r="A25" s="35"/>
      <c r="B25" s="36" t="s">
        <v>205</v>
      </c>
      <c r="C25" s="46">
        <v>-14.62</v>
      </c>
      <c r="E25" s="36" t="s">
        <v>206</v>
      </c>
      <c r="F25" s="46">
        <v>-8.0399999999999991</v>
      </c>
    </row>
    <row r="26" spans="1:6" ht="60" customHeight="1">
      <c r="A26" s="35"/>
      <c r="B26" s="36" t="s">
        <v>207</v>
      </c>
      <c r="C26" s="46">
        <v>-18.55</v>
      </c>
      <c r="E26" s="36" t="s">
        <v>208</v>
      </c>
      <c r="F26" s="46">
        <v>-9.41</v>
      </c>
    </row>
    <row r="27" spans="1:6" ht="60" customHeight="1">
      <c r="A27" s="35"/>
      <c r="B27" s="36" t="s">
        <v>209</v>
      </c>
      <c r="C27" s="46">
        <v>-20.54</v>
      </c>
      <c r="E27" s="36" t="s">
        <v>210</v>
      </c>
      <c r="F27" s="46">
        <v>-9.58</v>
      </c>
    </row>
    <row r="28" spans="1:6" ht="60" customHeight="1">
      <c r="A28" s="35"/>
      <c r="B28" s="36" t="s">
        <v>211</v>
      </c>
      <c r="C28" s="46">
        <v>-31.54</v>
      </c>
      <c r="E28" s="36" t="s">
        <v>212</v>
      </c>
      <c r="F28" s="46">
        <v>-11.68</v>
      </c>
    </row>
    <row r="29" spans="1:6" ht="60" customHeight="1">
      <c r="A29" s="35"/>
      <c r="B29" s="37" t="s">
        <v>213</v>
      </c>
      <c r="C29" s="46">
        <v>-44.82</v>
      </c>
      <c r="E29" s="37" t="s">
        <v>214</v>
      </c>
      <c r="F29" s="46">
        <v>-18.93</v>
      </c>
    </row>
    <row r="30" spans="1:6" ht="60" customHeight="1"/>
  </sheetData>
  <phoneticPr fontId="3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opLeftCell="C11" workbookViewId="0">
      <selection activeCell="A14" sqref="A14:XFD14"/>
    </sheetView>
  </sheetViews>
  <sheetFormatPr defaultRowHeight="13.9"/>
  <cols>
    <col min="1" max="1" width="18.3984375" style="2" customWidth="1"/>
    <col min="2" max="2" width="6.6640625" style="20" customWidth="1"/>
    <col min="3" max="3" width="9.46484375" style="20" customWidth="1"/>
    <col min="4" max="4" width="8.9296875" style="20" customWidth="1"/>
    <col min="5" max="5" width="18.59765625" style="19" customWidth="1"/>
    <col min="6" max="6" width="18.3984375" style="20" customWidth="1"/>
    <col min="7" max="7" width="30.53125" style="15" customWidth="1"/>
    <col min="8" max="8" width="17.86328125" style="15" customWidth="1"/>
    <col min="9" max="9" width="40.46484375" style="15" customWidth="1"/>
  </cols>
  <sheetData>
    <row r="1" spans="1:22" ht="34.5">
      <c r="B1" s="17" t="s">
        <v>18</v>
      </c>
      <c r="C1" s="18" t="s">
        <v>19</v>
      </c>
      <c r="D1" s="18" t="s">
        <v>20</v>
      </c>
      <c r="G1" s="14" t="s">
        <v>21</v>
      </c>
      <c r="H1" s="18" t="s">
        <v>22</v>
      </c>
      <c r="I1" s="18" t="s">
        <v>23</v>
      </c>
    </row>
    <row r="2" spans="1:22" ht="60" customHeight="1">
      <c r="A2" s="9" t="s">
        <v>159</v>
      </c>
      <c r="B2" s="20">
        <v>6.4630000000000007E-2</v>
      </c>
      <c r="C2" s="20">
        <v>-1.1339999999999999E-2</v>
      </c>
      <c r="D2" s="20">
        <v>8.8349999999999998E-2</v>
      </c>
      <c r="F2" s="21" t="s">
        <v>160</v>
      </c>
      <c r="G2" s="15">
        <v>4.2939999999999999E-2</v>
      </c>
      <c r="H2" s="15">
        <v>-7.8899999999999994E-3</v>
      </c>
      <c r="I2" s="15">
        <v>4.9439999999999998E-2</v>
      </c>
    </row>
    <row r="3" spans="1:22" ht="60" customHeight="1">
      <c r="A3" s="9" t="s">
        <v>161</v>
      </c>
      <c r="B3" s="20">
        <v>9.2200000000000004E-2</v>
      </c>
      <c r="C3" s="20">
        <v>-2.5770000000000001E-2</v>
      </c>
      <c r="D3" s="20">
        <v>7.8799999999999995E-2</v>
      </c>
      <c r="F3" s="21" t="s">
        <v>162</v>
      </c>
      <c r="G3" s="15">
        <v>8.4540000000000004E-2</v>
      </c>
      <c r="H3" s="15">
        <v>-3.7330000000000002E-2</v>
      </c>
      <c r="I3" s="15">
        <v>-1.61E-2</v>
      </c>
    </row>
    <row r="4" spans="1:22" ht="60" customHeight="1">
      <c r="A4" s="9" t="s">
        <v>163</v>
      </c>
      <c r="B4" s="20">
        <v>7.4109999999999995E-2</v>
      </c>
      <c r="C4" s="20">
        <v>-1.5100000000000001E-2</v>
      </c>
      <c r="D4" s="20">
        <v>9.3469999999999998E-2</v>
      </c>
      <c r="F4" s="21" t="s">
        <v>164</v>
      </c>
      <c r="G4" s="15">
        <v>0.12989999999999999</v>
      </c>
      <c r="H4" s="15">
        <v>-0.25208999999999998</v>
      </c>
      <c r="I4" s="15">
        <v>-0.86575000000000002</v>
      </c>
    </row>
    <row r="5" spans="1:22" ht="60" customHeight="1">
      <c r="A5" s="9" t="s">
        <v>165</v>
      </c>
      <c r="B5" s="20">
        <v>1.6140000000000002E-2</v>
      </c>
      <c r="C5" s="20">
        <v>1.6199999999999999E-3</v>
      </c>
      <c r="D5" s="20">
        <v>4.9099999999999998E-2</v>
      </c>
      <c r="F5" s="21" t="s">
        <v>166</v>
      </c>
      <c r="G5" s="15">
        <v>2.1309999999999999E-2</v>
      </c>
      <c r="H5" s="15">
        <v>4.9100000000000001E-4</v>
      </c>
      <c r="I5" s="15">
        <v>4.7309999999999998E-2</v>
      </c>
    </row>
    <row r="6" spans="1:22" ht="60" customHeight="1">
      <c r="A6" s="9" t="s">
        <v>167</v>
      </c>
      <c r="B6" s="20">
        <v>8.0190000000000001E-3</v>
      </c>
      <c r="C6" s="20">
        <v>1.5430000000000001E-3</v>
      </c>
      <c r="D6" s="20">
        <v>2.835E-2</v>
      </c>
      <c r="F6" s="21" t="s">
        <v>168</v>
      </c>
      <c r="G6" s="15">
        <v>1.1339999999999999E-2</v>
      </c>
      <c r="H6" s="15">
        <v>1.2520000000000001E-3</v>
      </c>
      <c r="I6" s="15">
        <v>3.006E-2</v>
      </c>
    </row>
    <row r="7" spans="1:22" ht="60" customHeight="1">
      <c r="A7" s="9" t="s">
        <v>169</v>
      </c>
      <c r="B7" s="20">
        <v>4.3679999999999997E-2</v>
      </c>
      <c r="C7" s="20">
        <v>-2.9399999999999999E-3</v>
      </c>
      <c r="D7" s="20">
        <v>9.9030000000000007E-2</v>
      </c>
      <c r="F7" s="21" t="s">
        <v>170</v>
      </c>
      <c r="G7" s="15">
        <v>3.7179999999999998E-2</v>
      </c>
      <c r="H7" s="15">
        <v>-4.3150000000000003E-3</v>
      </c>
      <c r="I7" s="15">
        <v>6.1749999999999999E-2</v>
      </c>
    </row>
    <row r="8" spans="1:22" ht="60" customHeight="1">
      <c r="A8" s="9" t="s">
        <v>171</v>
      </c>
      <c r="B8" s="20">
        <v>6.4000000000000001E-2</v>
      </c>
      <c r="C8" s="20">
        <v>-1.0500000000000001E-2</v>
      </c>
      <c r="D8" s="20">
        <v>9.8659999999999998E-2</v>
      </c>
      <c r="F8" s="21" t="s">
        <v>172</v>
      </c>
      <c r="G8" s="15">
        <v>5.7340000000000002E-2</v>
      </c>
      <c r="H8" s="15">
        <v>-1.6310000000000002E-2</v>
      </c>
      <c r="I8" s="15">
        <v>4.1980000000000003E-2</v>
      </c>
    </row>
    <row r="9" spans="1:22" ht="60" customHeight="1">
      <c r="A9" s="9" t="s">
        <v>173</v>
      </c>
      <c r="B9" s="20">
        <v>2.9780000000000001E-2</v>
      </c>
      <c r="C9" s="20">
        <v>1.2999999999999999E-4</v>
      </c>
      <c r="D9" s="20">
        <v>7.6579999999999995E-2</v>
      </c>
      <c r="F9" s="21" t="s">
        <v>174</v>
      </c>
      <c r="G9" s="15">
        <v>2.9219999999999999E-2</v>
      </c>
      <c r="H9" s="15">
        <v>-1.4469999999999999E-3</v>
      </c>
      <c r="I9" s="15">
        <v>5.6009999999999997E-2</v>
      </c>
    </row>
    <row r="10" spans="1:22" ht="60" customHeight="1">
      <c r="A10" s="9" t="s">
        <v>175</v>
      </c>
      <c r="B10" s="20">
        <v>2.5729999999999999E-2</v>
      </c>
      <c r="C10" s="20">
        <v>5.4679999999999996E-4</v>
      </c>
      <c r="D10" s="20">
        <v>6.7330000000000001E-2</v>
      </c>
      <c r="F10" s="21" t="s">
        <v>176</v>
      </c>
      <c r="G10" s="15">
        <v>2.4479999999999998E-2</v>
      </c>
      <c r="H10" s="15">
        <v>-3.28E-4</v>
      </c>
      <c r="I10" s="15">
        <v>5.0319999999999997E-2</v>
      </c>
    </row>
    <row r="11" spans="1:22" ht="60" customHeight="1">
      <c r="A11" s="9" t="s">
        <v>177</v>
      </c>
      <c r="B11" s="20">
        <v>6.9599999999999995E-2</v>
      </c>
      <c r="C11" s="20">
        <v>-1.319E-2</v>
      </c>
      <c r="D11" s="20">
        <v>9.8159999999999997E-2</v>
      </c>
      <c r="F11" s="21" t="s">
        <v>178</v>
      </c>
      <c r="G11" s="15">
        <v>5.9200000000000003E-2</v>
      </c>
      <c r="H11" s="15">
        <v>-1.7610000000000001E-2</v>
      </c>
      <c r="I11" s="15">
        <v>3.9820000000000001E-2</v>
      </c>
    </row>
    <row r="12" spans="1:22" ht="60" customHeight="1">
      <c r="A12" s="9" t="s">
        <v>179</v>
      </c>
      <c r="B12" s="20">
        <v>6.7369999999999999E-2</v>
      </c>
      <c r="C12" s="20">
        <v>-1.2019999999999999E-2</v>
      </c>
      <c r="D12" s="20">
        <v>0.1003</v>
      </c>
      <c r="F12" s="21" t="s">
        <v>180</v>
      </c>
      <c r="G12" s="15">
        <v>5.5489999999999998E-2</v>
      </c>
      <c r="H12" s="15">
        <v>-1.5129999999999999E-2</v>
      </c>
      <c r="I12" s="15">
        <v>4.5969999999999997E-2</v>
      </c>
    </row>
    <row r="13" spans="1:22" ht="60" customHeight="1">
      <c r="A13" s="9" t="s">
        <v>181</v>
      </c>
      <c r="B13" s="20">
        <v>7.0610000000000006E-2</v>
      </c>
      <c r="C13" s="20">
        <v>-1.3339999999999999E-2</v>
      </c>
      <c r="D13" s="20">
        <v>0.10722</v>
      </c>
      <c r="F13" s="21" t="s">
        <v>182</v>
      </c>
      <c r="G13" s="15">
        <v>5.4780000000000002E-2</v>
      </c>
      <c r="H13" s="15">
        <v>-1.4370000000000001E-2</v>
      </c>
      <c r="I13" s="15">
        <v>5.1090000000000003E-2</v>
      </c>
    </row>
    <row r="14" spans="1:22" ht="60" customHeight="1">
      <c r="A14" s="9" t="s">
        <v>183</v>
      </c>
      <c r="B14" s="20">
        <v>0.10808</v>
      </c>
      <c r="C14" s="20">
        <v>-3.7449999999999997E-2</v>
      </c>
      <c r="D14" s="20">
        <v>5.3839999999999999E-2</v>
      </c>
      <c r="F14" s="21" t="s">
        <v>184</v>
      </c>
      <c r="G14" s="15">
        <v>0.2397</v>
      </c>
      <c r="H14" s="15">
        <v>-0.22220000000000001</v>
      </c>
      <c r="I14" s="15">
        <v>-0.74580000000000002</v>
      </c>
    </row>
    <row r="15" spans="1:22" ht="60" customHeight="1">
      <c r="A15" s="9" t="s">
        <v>185</v>
      </c>
      <c r="B15" s="20">
        <v>9.0289999999999995E-2</v>
      </c>
      <c r="C15" s="20">
        <v>-2.5100000000000001E-2</v>
      </c>
      <c r="D15" s="20">
        <v>7.5880000000000003E-2</v>
      </c>
      <c r="F15" s="21" t="s">
        <v>186</v>
      </c>
      <c r="G15" s="15">
        <v>9.2579999999999996E-2</v>
      </c>
      <c r="H15" s="15">
        <v>-4.4650000000000002E-2</v>
      </c>
      <c r="I15" s="15">
        <v>-4.0689999999999997E-2</v>
      </c>
    </row>
    <row r="16" spans="1:22" ht="55.05" customHeight="1">
      <c r="A16" s="9" t="s">
        <v>187</v>
      </c>
      <c r="B16" s="20">
        <v>8.6559999999999998E-2</v>
      </c>
      <c r="C16" s="16">
        <v>-2.248E-2</v>
      </c>
      <c r="D16" s="16">
        <v>8.1439999999999999E-2</v>
      </c>
      <c r="E16" s="16"/>
      <c r="F16" s="21" t="s">
        <v>188</v>
      </c>
      <c r="G16" s="16">
        <v>0.10057000000000001</v>
      </c>
      <c r="H16" s="16">
        <v>-5.1968E-2</v>
      </c>
      <c r="I16" s="16">
        <v>-6.2028E-2</v>
      </c>
      <c r="J16" s="6"/>
      <c r="K16" s="5"/>
      <c r="L16" s="9"/>
      <c r="M16" s="4"/>
      <c r="N16" s="4"/>
      <c r="O16" s="5"/>
      <c r="P16" s="5"/>
      <c r="Q16" s="6"/>
      <c r="R16" s="6"/>
      <c r="S16" s="6"/>
      <c r="T16" s="2"/>
      <c r="U16" s="1"/>
      <c r="V16" s="1"/>
    </row>
    <row r="17" spans="1:9" ht="60" customHeight="1">
      <c r="A17" s="9" t="s">
        <v>189</v>
      </c>
      <c r="B17" s="20">
        <v>0.10251</v>
      </c>
      <c r="C17" s="20">
        <v>-3.2680000000000001E-2</v>
      </c>
      <c r="D17" s="20">
        <v>6.9419999999999996E-2</v>
      </c>
      <c r="F17" s="21" t="s">
        <v>190</v>
      </c>
      <c r="G17" s="15">
        <v>0.25950000000000001</v>
      </c>
      <c r="H17" s="15">
        <v>-0.2515</v>
      </c>
      <c r="I17" s="15">
        <v>-0.85970000000000002</v>
      </c>
    </row>
    <row r="18" spans="1:9" ht="60" customHeight="1">
      <c r="A18" s="9" t="s">
        <v>191</v>
      </c>
      <c r="B18" s="20">
        <v>4.5620000000000001E-2</v>
      </c>
      <c r="C18" s="20">
        <v>-3.735E-3</v>
      </c>
      <c r="D18" s="20">
        <v>8.9160000000000003E-2</v>
      </c>
      <c r="F18" s="21" t="s">
        <v>192</v>
      </c>
      <c r="G18" s="15">
        <v>4.6300000000000001E-2</v>
      </c>
      <c r="H18" s="15">
        <v>-9.4210000000000006E-3</v>
      </c>
      <c r="I18" s="15">
        <v>5.2069999999999998E-2</v>
      </c>
    </row>
    <row r="19" spans="1:9" ht="60" customHeight="1">
      <c r="A19" s="9" t="s">
        <v>193</v>
      </c>
      <c r="B19" s="20">
        <v>1.2319999999999999E-2</v>
      </c>
      <c r="C19" s="20">
        <v>1.66E-3</v>
      </c>
      <c r="D19" s="20">
        <v>3.9789999999999999E-2</v>
      </c>
      <c r="F19" s="21" t="s">
        <v>194</v>
      </c>
      <c r="G19" s="15">
        <v>1.4330000000000001E-2</v>
      </c>
      <c r="H19" s="15">
        <v>1.1800000000000001E-3</v>
      </c>
      <c r="I19" s="15">
        <v>3.569E-2</v>
      </c>
    </row>
    <row r="20" spans="1:9" ht="60" customHeight="1">
      <c r="A20" s="9" t="s">
        <v>195</v>
      </c>
      <c r="B20" s="20">
        <v>4.8419999999999998E-2</v>
      </c>
      <c r="C20" s="20">
        <v>-4.6109999999999996E-3</v>
      </c>
      <c r="D20" s="20">
        <v>9.0670000000000001E-2</v>
      </c>
      <c r="F20" s="21" t="s">
        <v>196</v>
      </c>
      <c r="G20" s="15">
        <v>4.7759999999999997E-2</v>
      </c>
      <c r="H20" s="15">
        <v>-1.0290000000000001E-2</v>
      </c>
      <c r="I20" s="15">
        <v>5.1139999999999998E-2</v>
      </c>
    </row>
    <row r="21" spans="1:9" ht="60" customHeight="1">
      <c r="A21" s="9" t="s">
        <v>197</v>
      </c>
      <c r="B21" s="20">
        <v>4.8379999999999999E-2</v>
      </c>
      <c r="C21" s="20">
        <v>-4.4400000000000004E-3</v>
      </c>
      <c r="D21" s="20">
        <v>9.289E-2</v>
      </c>
      <c r="F21" s="21" t="s">
        <v>198</v>
      </c>
      <c r="G21" s="15">
        <v>4.6739999999999997E-2</v>
      </c>
      <c r="H21" s="15">
        <v>-9.6229999999999996E-3</v>
      </c>
      <c r="I21" s="15">
        <v>5.3379999999999997E-2</v>
      </c>
    </row>
    <row r="22" spans="1:9" ht="60" customHeight="1">
      <c r="A22" s="9" t="s">
        <v>199</v>
      </c>
      <c r="B22" s="20">
        <v>6.0999999999999999E-2</v>
      </c>
      <c r="C22" s="20">
        <v>-9.0200000000000002E-3</v>
      </c>
      <c r="D22" s="20">
        <v>0.10199999999999999</v>
      </c>
      <c r="F22" s="21" t="s">
        <v>200</v>
      </c>
      <c r="G22" s="15">
        <v>5.2159999999999998E-2</v>
      </c>
      <c r="H22" s="15">
        <v>-1.2829999999999999E-2</v>
      </c>
      <c r="I22" s="15">
        <v>4.9790000000000001E-2</v>
      </c>
    </row>
    <row r="23" spans="1:9" ht="60" customHeight="1">
      <c r="A23" s="9" t="s">
        <v>201</v>
      </c>
      <c r="B23" s="20">
        <v>6.9220000000000004E-2</v>
      </c>
      <c r="C23" s="20">
        <v>-1.256E-2</v>
      </c>
      <c r="D23" s="20">
        <v>9.3490000000000004E-2</v>
      </c>
      <c r="F23" s="21" t="s">
        <v>202</v>
      </c>
      <c r="G23" s="15">
        <v>6.565E-2</v>
      </c>
      <c r="H23" s="15">
        <v>-2.2280000000000001E-2</v>
      </c>
      <c r="I23" s="15">
        <v>2.579E-2</v>
      </c>
    </row>
    <row r="24" spans="1:9" ht="60" customHeight="1">
      <c r="A24" s="9" t="s">
        <v>203</v>
      </c>
      <c r="B24" s="20">
        <v>7.9450000000000007E-2</v>
      </c>
      <c r="C24" s="20">
        <v>-1.763E-2</v>
      </c>
      <c r="D24" s="20">
        <v>9.4079999999999997E-2</v>
      </c>
      <c r="F24" s="21" t="s">
        <v>204</v>
      </c>
      <c r="G24" s="15">
        <v>7.0489999999999997E-2</v>
      </c>
      <c r="H24" s="15">
        <v>-2.5919999999999999E-2</v>
      </c>
      <c r="I24" s="15">
        <v>2.102E-2</v>
      </c>
    </row>
    <row r="25" spans="1:9" ht="60" customHeight="1">
      <c r="A25" s="9" t="s">
        <v>205</v>
      </c>
      <c r="B25" s="20">
        <v>3.7440000000000001E-2</v>
      </c>
      <c r="C25" s="20">
        <v>-1.756E-3</v>
      </c>
      <c r="D25" s="20">
        <v>7.9229999999999995E-2</v>
      </c>
      <c r="F25" s="21" t="s">
        <v>206</v>
      </c>
      <c r="G25" s="15">
        <v>3.4349999999999999E-2</v>
      </c>
      <c r="H25" s="15">
        <v>-3.627E-3</v>
      </c>
      <c r="I25" s="15">
        <v>5.4829999999999997E-2</v>
      </c>
    </row>
    <row r="26" spans="1:9">
      <c r="A26" s="9" t="s">
        <v>207</v>
      </c>
      <c r="B26" s="20">
        <v>4.4267000000000001E-2</v>
      </c>
      <c r="C26" s="20">
        <v>-3.5899999999999999E-3</v>
      </c>
      <c r="D26" s="20">
        <v>8.5650000000000004E-2</v>
      </c>
      <c r="F26" s="21" t="s">
        <v>208</v>
      </c>
      <c r="G26" s="15">
        <v>3.9989999999999998E-2</v>
      </c>
      <c r="H26" s="15">
        <v>-6.182E-3</v>
      </c>
      <c r="I26" s="15">
        <v>5.4489999999999997E-2</v>
      </c>
    </row>
    <row r="27" spans="1:9">
      <c r="A27" s="9" t="s">
        <v>209</v>
      </c>
      <c r="B27" s="20">
        <v>4.7690000000000003E-2</v>
      </c>
      <c r="C27" s="20">
        <v>-4.4089999999999997E-3</v>
      </c>
      <c r="D27" s="20">
        <v>9.0810000000000002E-2</v>
      </c>
      <c r="F27" s="21" t="s">
        <v>210</v>
      </c>
      <c r="G27" s="15">
        <v>4.0730000000000002E-2</v>
      </c>
      <c r="H27" s="15">
        <v>-6.4120000000000002E-3</v>
      </c>
      <c r="I27" s="15">
        <v>5.5649999999999998E-2</v>
      </c>
    </row>
    <row r="28" spans="1:9">
      <c r="A28" s="9" t="s">
        <v>211</v>
      </c>
      <c r="B28" s="20">
        <v>6.8150000000000002E-2</v>
      </c>
      <c r="C28" s="20">
        <v>-1.2579999999999999E-2</v>
      </c>
      <c r="D28" s="20">
        <v>9.9979999999999999E-2</v>
      </c>
      <c r="F28" s="21" t="s">
        <v>212</v>
      </c>
      <c r="G28" s="15">
        <v>4.8489999999999998E-2</v>
      </c>
      <c r="H28" s="15">
        <v>-1.0659999999999999E-2</v>
      </c>
      <c r="I28" s="15">
        <v>5.1560000000000002E-2</v>
      </c>
    </row>
    <row r="29" spans="1:9">
      <c r="A29" s="10" t="s">
        <v>213</v>
      </c>
      <c r="B29" s="20">
        <v>8.1549999999999997E-2</v>
      </c>
      <c r="C29" s="20">
        <v>-1.866E-2</v>
      </c>
      <c r="D29" s="20">
        <v>9.8619999999999999E-2</v>
      </c>
      <c r="F29" s="22" t="s">
        <v>214</v>
      </c>
      <c r="G29" s="15">
        <v>6.7820000000000005E-2</v>
      </c>
      <c r="H29" s="15">
        <v>-2.3810000000000001E-2</v>
      </c>
      <c r="I29" s="15">
        <v>2.9270000000000001E-2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7"/>
  <sheetViews>
    <sheetView workbookViewId="0">
      <selection activeCell="E1" activeCellId="1" sqref="B1:B1048576 E1:E1048576"/>
    </sheetView>
  </sheetViews>
  <sheetFormatPr defaultRowHeight="13.9"/>
  <cols>
    <col min="1" max="1" width="15.73046875" style="2" customWidth="1"/>
    <col min="2" max="2" width="9.06640625" style="15"/>
    <col min="3" max="4" width="9.06640625" style="1"/>
    <col min="5" max="5" width="9.06640625" style="15"/>
    <col min="6" max="14" width="9.06640625" style="1"/>
  </cols>
  <sheetData>
    <row r="1" spans="1:14" ht="10.050000000000001" customHeight="1">
      <c r="B1" s="15" t="s">
        <v>24</v>
      </c>
      <c r="E1" s="15" t="s">
        <v>24</v>
      </c>
    </row>
    <row r="2" spans="1:14" ht="10.050000000000001" customHeight="1">
      <c r="A2" s="9" t="s">
        <v>159</v>
      </c>
      <c r="B2" s="15">
        <v>0.34036</v>
      </c>
      <c r="D2" s="9" t="s">
        <v>160</v>
      </c>
      <c r="E2" s="15">
        <v>8.652E-2</v>
      </c>
    </row>
    <row r="3" spans="1:14" ht="10.050000000000001" customHeight="1">
      <c r="A3" s="9" t="s">
        <v>161</v>
      </c>
      <c r="B3" s="15">
        <v>0.45256999999999997</v>
      </c>
      <c r="D3" s="9" t="s">
        <v>162</v>
      </c>
      <c r="E3" s="15">
        <v>0.18060999999999999</v>
      </c>
    </row>
    <row r="4" spans="1:14" s="13" customFormat="1" ht="10.050000000000001" customHeight="1">
      <c r="A4" s="11" t="s">
        <v>163</v>
      </c>
      <c r="B4" s="40">
        <v>0.37641000000000002</v>
      </c>
      <c r="C4" s="12"/>
      <c r="D4" s="11" t="s">
        <v>164</v>
      </c>
      <c r="E4" s="40">
        <v>0.53261000000000003</v>
      </c>
      <c r="F4" s="12"/>
      <c r="G4" s="12"/>
      <c r="H4" s="12"/>
      <c r="I4" s="12"/>
      <c r="J4" s="12"/>
      <c r="K4" s="12"/>
      <c r="L4" s="12"/>
      <c r="M4" s="12"/>
      <c r="N4" s="12"/>
    </row>
    <row r="5" spans="1:14" ht="10.050000000000001" customHeight="1">
      <c r="A5" s="9" t="s">
        <v>165</v>
      </c>
      <c r="B5" s="15">
        <v>3.6044E-2</v>
      </c>
      <c r="D5" s="9" t="s">
        <v>166</v>
      </c>
      <c r="E5" s="15">
        <v>1.745E-2</v>
      </c>
    </row>
    <row r="6" spans="1:14" ht="10.050000000000001" customHeight="1">
      <c r="A6" s="9" t="s">
        <v>167</v>
      </c>
      <c r="B6" s="15">
        <v>1.1050000000000001E-2</v>
      </c>
      <c r="D6" s="9" t="s">
        <v>168</v>
      </c>
      <c r="E6" s="15">
        <v>5.1999999999999998E-3</v>
      </c>
    </row>
    <row r="7" spans="1:14" ht="10.050000000000001" customHeight="1">
      <c r="A7" s="9" t="s">
        <v>169</v>
      </c>
      <c r="B7" s="15">
        <v>0.12021999999999999</v>
      </c>
      <c r="D7" s="9" t="s">
        <v>170</v>
      </c>
      <c r="E7" s="15">
        <v>4.8280000000000003E-2</v>
      </c>
    </row>
    <row r="8" spans="1:14" ht="10.050000000000001" customHeight="1">
      <c r="A8" s="9" t="s">
        <v>171</v>
      </c>
      <c r="B8" s="15">
        <v>0.27323999999999998</v>
      </c>
      <c r="D8" s="9" t="s">
        <v>172</v>
      </c>
      <c r="E8" s="15">
        <v>0.11301</v>
      </c>
    </row>
    <row r="9" spans="1:14" ht="10.050000000000001" customHeight="1">
      <c r="A9" s="9" t="s">
        <v>173</v>
      </c>
      <c r="B9" s="15">
        <v>7.9439999999999997E-2</v>
      </c>
      <c r="D9" s="9" t="s">
        <v>174</v>
      </c>
      <c r="E9" s="15">
        <v>3.1009999999999999E-2</v>
      </c>
    </row>
    <row r="10" spans="1:14" ht="10.050000000000001" customHeight="1">
      <c r="A10" s="9" t="s">
        <v>175</v>
      </c>
      <c r="B10" s="15">
        <v>6.7349999999999993E-2</v>
      </c>
      <c r="D10" s="9" t="s">
        <v>176</v>
      </c>
      <c r="E10" s="15">
        <v>2.2780000000000002E-2</v>
      </c>
    </row>
    <row r="11" spans="1:14" ht="10.050000000000001" customHeight="1">
      <c r="A11" s="9" t="s">
        <v>177</v>
      </c>
      <c r="B11" s="15">
        <v>0.30308000000000002</v>
      </c>
      <c r="D11" s="9" t="s">
        <v>178</v>
      </c>
      <c r="E11" s="15">
        <v>0.11883000000000001</v>
      </c>
    </row>
    <row r="12" spans="1:14" ht="10.050000000000001" customHeight="1">
      <c r="A12" s="9" t="s">
        <v>179</v>
      </c>
      <c r="B12" s="15">
        <v>0.28913</v>
      </c>
      <c r="D12" s="9" t="s">
        <v>180</v>
      </c>
      <c r="E12" s="15">
        <v>9.3590000000000007E-2</v>
      </c>
    </row>
    <row r="13" spans="1:14" ht="10.050000000000001" customHeight="1">
      <c r="A13" s="9" t="s">
        <v>181</v>
      </c>
      <c r="B13" s="15">
        <v>0.26800000000000002</v>
      </c>
      <c r="D13" s="9" t="s">
        <v>182</v>
      </c>
      <c r="E13" s="15">
        <v>9.1869999999999993E-2</v>
      </c>
    </row>
    <row r="14" spans="1:14" s="13" customFormat="1" ht="10.050000000000001" customHeight="1">
      <c r="A14" s="11" t="s">
        <v>183</v>
      </c>
      <c r="B14" s="40">
        <v>0.51866999999999996</v>
      </c>
      <c r="C14" s="12"/>
      <c r="D14" s="11" t="s">
        <v>184</v>
      </c>
      <c r="E14" s="40">
        <v>0.47638000000000003</v>
      </c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0.050000000000001" customHeight="1">
      <c r="A15" s="9" t="s">
        <v>185</v>
      </c>
      <c r="B15" s="15">
        <v>0.46848000000000001</v>
      </c>
      <c r="D15" s="9" t="s">
        <v>186</v>
      </c>
      <c r="E15" s="15">
        <v>0.21446999999999999</v>
      </c>
    </row>
    <row r="16" spans="1:14" ht="10.050000000000001" customHeight="1">
      <c r="A16" s="9" t="s">
        <v>187</v>
      </c>
      <c r="B16" s="15">
        <v>0.45517999999999997</v>
      </c>
      <c r="D16" s="21" t="s">
        <v>188</v>
      </c>
      <c r="E16" s="15">
        <v>0.21163999999999999</v>
      </c>
    </row>
    <row r="17" spans="1:14" s="13" customFormat="1" ht="10.050000000000001" customHeight="1">
      <c r="A17" s="11" t="s">
        <v>189</v>
      </c>
      <c r="B17" s="40">
        <v>0.49486999999999998</v>
      </c>
      <c r="C17" s="12"/>
      <c r="D17" s="11" t="s">
        <v>190</v>
      </c>
      <c r="E17" s="40">
        <v>0.53393000000000002</v>
      </c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0.050000000000001" customHeight="1">
      <c r="A18" s="9" t="s">
        <v>191</v>
      </c>
      <c r="B18" s="15">
        <v>0.21406</v>
      </c>
      <c r="D18" s="9" t="s">
        <v>192</v>
      </c>
      <c r="E18" s="15">
        <v>8.2869999999999999E-2</v>
      </c>
    </row>
    <row r="19" spans="1:14" ht="10.050000000000001" customHeight="1">
      <c r="A19" s="9" t="s">
        <v>193</v>
      </c>
      <c r="B19" s="15">
        <v>2.317E-2</v>
      </c>
      <c r="D19" s="9" t="s">
        <v>194</v>
      </c>
      <c r="E19" s="15">
        <v>9.2099999999999994E-3</v>
      </c>
    </row>
    <row r="20" spans="1:14" ht="10.050000000000001" customHeight="1">
      <c r="A20" s="9" t="s">
        <v>195</v>
      </c>
      <c r="B20" s="15">
        <v>0.23416000000000001</v>
      </c>
      <c r="D20" s="9" t="s">
        <v>196</v>
      </c>
      <c r="E20" s="15">
        <v>8.677E-2</v>
      </c>
    </row>
    <row r="21" spans="1:14" ht="10.050000000000001" customHeight="1">
      <c r="A21" s="9" t="s">
        <v>197</v>
      </c>
      <c r="B21" s="15">
        <v>0.21762999999999999</v>
      </c>
      <c r="D21" s="9" t="s">
        <v>198</v>
      </c>
      <c r="E21" s="15">
        <v>7.1809999999999999E-2</v>
      </c>
    </row>
    <row r="22" spans="1:14" ht="10.050000000000001" customHeight="1">
      <c r="A22" s="9" t="s">
        <v>199</v>
      </c>
      <c r="B22" s="15">
        <v>0.25746000000000002</v>
      </c>
      <c r="D22" s="9" t="s">
        <v>200</v>
      </c>
      <c r="E22" s="15">
        <v>9.1359999999999997E-2</v>
      </c>
    </row>
    <row r="23" spans="1:14" ht="10.050000000000001" customHeight="1">
      <c r="A23" s="9" t="s">
        <v>201</v>
      </c>
      <c r="B23" s="15">
        <v>0.37837999999999999</v>
      </c>
      <c r="D23" s="9" t="s">
        <v>202</v>
      </c>
      <c r="E23" s="15">
        <v>0.12298000000000001</v>
      </c>
    </row>
    <row r="24" spans="1:14" ht="10.050000000000001" customHeight="1">
      <c r="A24" s="9" t="s">
        <v>203</v>
      </c>
      <c r="B24" s="15">
        <v>0.39004</v>
      </c>
      <c r="D24" s="9" t="s">
        <v>204</v>
      </c>
      <c r="E24" s="15">
        <v>0.12672</v>
      </c>
    </row>
    <row r="25" spans="1:14" ht="10.050000000000001" customHeight="1">
      <c r="A25" s="9" t="s">
        <v>205</v>
      </c>
      <c r="B25" s="15">
        <v>0.17610000000000001</v>
      </c>
      <c r="D25" s="9" t="s">
        <v>206</v>
      </c>
      <c r="E25" s="15">
        <v>4.8829999999999998E-2</v>
      </c>
    </row>
    <row r="26" spans="1:14" ht="10.050000000000001" customHeight="1">
      <c r="A26" s="9" t="s">
        <v>207</v>
      </c>
      <c r="B26" s="15">
        <v>0.21379999999999999</v>
      </c>
      <c r="D26" s="9" t="s">
        <v>208</v>
      </c>
      <c r="E26" s="15">
        <v>6.3170000000000004E-2</v>
      </c>
    </row>
    <row r="27" spans="1:14" ht="10.050000000000001" customHeight="1">
      <c r="A27" s="9" t="s">
        <v>209</v>
      </c>
      <c r="B27" s="15">
        <v>0.20877000000000001</v>
      </c>
      <c r="D27" s="9" t="s">
        <v>210</v>
      </c>
      <c r="E27" s="15">
        <v>5.5030000000000003E-2</v>
      </c>
    </row>
    <row r="28" spans="1:14" ht="10.050000000000001" customHeight="1">
      <c r="A28" s="9" t="s">
        <v>211</v>
      </c>
      <c r="B28" s="15">
        <v>0.26335999999999998</v>
      </c>
      <c r="D28" s="9" t="s">
        <v>212</v>
      </c>
      <c r="E28" s="15">
        <v>7.8700000000000006E-2</v>
      </c>
    </row>
    <row r="29" spans="1:14" ht="10.050000000000001" customHeight="1">
      <c r="A29" s="10" t="s">
        <v>213</v>
      </c>
      <c r="B29" s="15">
        <v>0.36685000000000001</v>
      </c>
      <c r="D29" s="10" t="s">
        <v>214</v>
      </c>
      <c r="E29" s="15">
        <v>0.12466000000000001</v>
      </c>
    </row>
    <row r="30" spans="1:14" ht="10.050000000000001" customHeight="1"/>
    <row r="31" spans="1:14" ht="10.050000000000001" customHeight="1"/>
    <row r="32" spans="1:14" ht="10.050000000000001" customHeight="1"/>
    <row r="33" ht="10.050000000000001" customHeight="1"/>
    <row r="34" ht="10.050000000000001" customHeight="1"/>
    <row r="35" ht="10.050000000000001" customHeight="1"/>
    <row r="36" ht="10.050000000000001" customHeight="1"/>
    <row r="37" ht="10.050000000000001" customHeight="1"/>
    <row r="38" ht="10.050000000000001" customHeight="1"/>
    <row r="39" ht="10.050000000000001" customHeight="1"/>
    <row r="40" ht="10.050000000000001" customHeight="1"/>
    <row r="41" ht="10.050000000000001" customHeight="1"/>
    <row r="42" ht="10.050000000000001" customHeight="1"/>
    <row r="43" ht="10.050000000000001" customHeight="1"/>
    <row r="44" ht="10.050000000000001" customHeight="1"/>
    <row r="45" ht="10.050000000000001" customHeight="1"/>
    <row r="46" ht="10.050000000000001" customHeight="1"/>
    <row r="47" ht="10.050000000000001" customHeight="1"/>
    <row r="48" ht="10.050000000000001" customHeight="1"/>
    <row r="49" ht="10.050000000000001" customHeight="1"/>
    <row r="50" ht="10.050000000000001" customHeight="1"/>
    <row r="51" ht="10.050000000000001" customHeight="1"/>
    <row r="52" ht="10.050000000000001" customHeight="1"/>
    <row r="53" ht="10.050000000000001" customHeight="1"/>
    <row r="54" ht="10.050000000000001" customHeight="1"/>
    <row r="55" ht="10.050000000000001" customHeight="1"/>
    <row r="56" ht="10.050000000000001" customHeight="1"/>
    <row r="57" ht="10.050000000000001" customHeight="1"/>
  </sheetData>
  <phoneticPr fontId="3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tabSelected="1" topLeftCell="A23" workbookViewId="0">
      <selection activeCell="A42" sqref="A42:XFD42"/>
    </sheetView>
  </sheetViews>
  <sheetFormatPr defaultRowHeight="13.9"/>
  <cols>
    <col min="1" max="1" width="15.73046875" style="2" customWidth="1"/>
    <col min="2" max="7" width="20.59765625" style="1" customWidth="1"/>
    <col min="8" max="13" width="20.59765625" customWidth="1"/>
  </cols>
  <sheetData>
    <row r="1" spans="1:8" ht="15" customHeight="1">
      <c r="A1" t="s">
        <v>215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1"/>
    </row>
    <row r="2" spans="1:8" ht="15" customHeight="1">
      <c r="A2" s="9" t="s">
        <v>160</v>
      </c>
      <c r="B2" s="1">
        <v>-18.57</v>
      </c>
      <c r="C2" s="1">
        <v>-35.65</v>
      </c>
      <c r="D2" s="1">
        <v>63.3</v>
      </c>
      <c r="E2" s="1">
        <v>-10.94</v>
      </c>
      <c r="F2" s="1">
        <v>-8.44</v>
      </c>
      <c r="G2" s="1">
        <v>-10.31</v>
      </c>
      <c r="H2" s="1"/>
    </row>
    <row r="3" spans="1:8" ht="15" customHeight="1">
      <c r="A3" s="9" t="s">
        <v>162</v>
      </c>
      <c r="B3" s="1">
        <v>-38.630000000000003</v>
      </c>
      <c r="C3" s="1">
        <v>-76.930000000000007</v>
      </c>
      <c r="D3" s="1">
        <v>140.27000000000001</v>
      </c>
      <c r="E3" s="1">
        <v>-39.75</v>
      </c>
      <c r="F3" s="1">
        <v>-7.41</v>
      </c>
      <c r="G3" s="1">
        <v>-22.45</v>
      </c>
      <c r="H3" s="1"/>
    </row>
    <row r="4" spans="1:8" ht="15" customHeight="1">
      <c r="A4" s="9" t="s">
        <v>164</v>
      </c>
      <c r="B4" s="1">
        <v>-95.63</v>
      </c>
      <c r="C4" s="1">
        <v>-231.17</v>
      </c>
      <c r="D4" s="1">
        <v>429.72</v>
      </c>
      <c r="E4" s="1">
        <v>-251.09</v>
      </c>
      <c r="F4" s="1">
        <v>39.44</v>
      </c>
      <c r="G4" s="1">
        <v>-108.73</v>
      </c>
      <c r="H4" s="1"/>
    </row>
    <row r="5" spans="1:8" ht="15" customHeight="1">
      <c r="A5" s="9" t="s">
        <v>166</v>
      </c>
      <c r="B5" s="1">
        <v>-3.5</v>
      </c>
      <c r="C5" s="1">
        <v>-9.3800000000000008</v>
      </c>
      <c r="D5" s="1">
        <v>16.920000000000002</v>
      </c>
      <c r="E5" s="1">
        <v>-3.18</v>
      </c>
      <c r="F5" s="1">
        <v>-2.4700000000000002</v>
      </c>
      <c r="G5" s="1">
        <v>-1.61</v>
      </c>
      <c r="H5" s="1"/>
    </row>
    <row r="6" spans="1:8" ht="15" customHeight="1">
      <c r="A6" s="9" t="s">
        <v>168</v>
      </c>
      <c r="B6" s="1">
        <v>-1.1100000000000001</v>
      </c>
      <c r="C6" s="1">
        <v>-4.25</v>
      </c>
      <c r="D6" s="1">
        <v>7.42</v>
      </c>
      <c r="E6" s="1">
        <v>-1.04</v>
      </c>
      <c r="F6" s="1">
        <v>-1.25</v>
      </c>
      <c r="G6" s="1">
        <v>-0.24</v>
      </c>
      <c r="H6" s="1"/>
    </row>
    <row r="7" spans="1:8" ht="15" customHeight="1">
      <c r="A7" s="9" t="s">
        <v>170</v>
      </c>
      <c r="B7" s="1">
        <v>-8.41</v>
      </c>
      <c r="C7" s="1">
        <v>-18.43</v>
      </c>
      <c r="D7" s="1">
        <v>34.11</v>
      </c>
      <c r="E7" s="1">
        <v>-10.14</v>
      </c>
      <c r="F7" s="1">
        <v>-1.66</v>
      </c>
      <c r="G7" s="1">
        <v>-4.54</v>
      </c>
      <c r="H7" s="1"/>
    </row>
    <row r="8" spans="1:8" ht="15" customHeight="1">
      <c r="A8" s="9" t="s">
        <v>172</v>
      </c>
      <c r="B8" s="1">
        <v>-22.05</v>
      </c>
      <c r="C8" s="1">
        <v>-40.76</v>
      </c>
      <c r="D8" s="1">
        <v>74.569999999999993</v>
      </c>
      <c r="E8" s="1">
        <v>-18.489999999999998</v>
      </c>
      <c r="F8" s="1">
        <v>-5.65</v>
      </c>
      <c r="G8" s="1">
        <v>-12.39</v>
      </c>
      <c r="H8" s="1"/>
    </row>
    <row r="9" spans="1:8" ht="15" customHeight="1">
      <c r="A9" s="9" t="s">
        <v>174</v>
      </c>
      <c r="B9" s="1">
        <v>-5.63</v>
      </c>
      <c r="C9" s="1">
        <v>-13.62</v>
      </c>
      <c r="D9" s="1">
        <v>24.92</v>
      </c>
      <c r="E9" s="1">
        <v>-6.33</v>
      </c>
      <c r="F9" s="1">
        <v>-2.2799999999999998</v>
      </c>
      <c r="G9" s="1">
        <v>-2.94</v>
      </c>
      <c r="H9" s="1"/>
    </row>
    <row r="10" spans="1:8" ht="15" customHeight="1">
      <c r="A10" s="9" t="s">
        <v>176</v>
      </c>
      <c r="B10" s="1">
        <v>-3.74</v>
      </c>
      <c r="C10" s="1">
        <v>-10.56</v>
      </c>
      <c r="D10" s="1">
        <v>19.22</v>
      </c>
      <c r="E10" s="1">
        <v>-4.76</v>
      </c>
      <c r="F10" s="1">
        <v>-2.11</v>
      </c>
      <c r="G10" s="1">
        <v>-1.94</v>
      </c>
      <c r="H10" s="1"/>
    </row>
    <row r="11" spans="1:8" ht="15" customHeight="1">
      <c r="A11" s="9" t="s">
        <v>178</v>
      </c>
      <c r="B11" s="1">
        <v>-23.42</v>
      </c>
      <c r="C11" s="1">
        <v>-42.52</v>
      </c>
      <c r="D11" s="1">
        <v>77.69</v>
      </c>
      <c r="E11" s="1">
        <v>-20.21</v>
      </c>
      <c r="F11" s="1">
        <v>-5.42</v>
      </c>
      <c r="G11" s="1">
        <v>-13.7</v>
      </c>
      <c r="H11" s="1"/>
    </row>
    <row r="12" spans="1:8" ht="15" customHeight="1">
      <c r="A12" s="9" t="s">
        <v>180</v>
      </c>
      <c r="B12" s="1">
        <v>-20.329999999999998</v>
      </c>
      <c r="C12" s="1">
        <v>-37.770000000000003</v>
      </c>
      <c r="D12" s="1">
        <v>68.94</v>
      </c>
      <c r="E12" s="1">
        <v>-19.149999999999999</v>
      </c>
      <c r="F12" s="1">
        <v>-3.91</v>
      </c>
      <c r="G12" s="1">
        <v>-12.22</v>
      </c>
      <c r="H12" s="1"/>
    </row>
    <row r="13" spans="1:8" ht="15" customHeight="1">
      <c r="A13" s="9" t="s">
        <v>182</v>
      </c>
      <c r="B13" s="1">
        <v>-19.22</v>
      </c>
      <c r="C13" s="1">
        <v>-33.97</v>
      </c>
      <c r="D13" s="1">
        <v>62.54</v>
      </c>
      <c r="E13" s="1">
        <v>-18.61</v>
      </c>
      <c r="F13" s="1">
        <v>-2.75</v>
      </c>
      <c r="G13" s="1">
        <v>-12.01</v>
      </c>
      <c r="H13" s="1"/>
    </row>
    <row r="14" spans="1:8" ht="15" customHeight="1">
      <c r="A14" s="9" t="s">
        <v>184</v>
      </c>
      <c r="B14" s="1">
        <v>-82.17</v>
      </c>
      <c r="C14" s="1">
        <v>-196.71</v>
      </c>
      <c r="D14" s="1">
        <v>367.13</v>
      </c>
      <c r="E14" s="1">
        <v>-203.66</v>
      </c>
      <c r="F14" s="1">
        <v>22.87</v>
      </c>
      <c r="G14" s="1">
        <v>-92.55</v>
      </c>
      <c r="H14" s="1"/>
    </row>
    <row r="15" spans="1:8" ht="15" customHeight="1">
      <c r="A15" s="9" t="s">
        <v>186</v>
      </c>
      <c r="B15" s="1">
        <v>-39.47</v>
      </c>
      <c r="C15" s="1">
        <v>-77.790000000000006</v>
      </c>
      <c r="D15" s="1">
        <v>142.88999999999999</v>
      </c>
      <c r="E15" s="1">
        <v>-40.799999999999997</v>
      </c>
      <c r="F15" s="1">
        <v>-9.66</v>
      </c>
      <c r="G15" s="1">
        <v>-24.83</v>
      </c>
      <c r="H15" s="1"/>
    </row>
    <row r="16" spans="1:8" ht="15" customHeight="1">
      <c r="A16" s="9" t="s">
        <v>188</v>
      </c>
      <c r="B16" s="1">
        <v>-43.69</v>
      </c>
      <c r="C16" s="1">
        <v>-87.81</v>
      </c>
      <c r="D16" s="1">
        <v>161.72</v>
      </c>
      <c r="E16" s="1">
        <v>-51.86</v>
      </c>
      <c r="F16" s="1">
        <v>-5.61</v>
      </c>
      <c r="G16" s="1">
        <v>-27.23</v>
      </c>
      <c r="H16" s="1"/>
    </row>
    <row r="17" spans="1:8" ht="15" customHeight="1">
      <c r="A17" s="9" t="s">
        <v>190</v>
      </c>
      <c r="B17" s="1">
        <v>-96.69</v>
      </c>
      <c r="C17" s="1">
        <v>-233.77</v>
      </c>
      <c r="D17" s="1">
        <v>433.97</v>
      </c>
      <c r="E17" s="1">
        <v>-255.54</v>
      </c>
      <c r="F17" s="1">
        <v>41.54</v>
      </c>
      <c r="G17" s="1">
        <v>-110.48</v>
      </c>
      <c r="H17" s="1"/>
    </row>
    <row r="18" spans="1:8" ht="15" customHeight="1">
      <c r="A18" s="9" t="s">
        <v>192</v>
      </c>
      <c r="B18" s="1">
        <v>-19.149999999999999</v>
      </c>
      <c r="C18" s="1">
        <v>-34.81</v>
      </c>
      <c r="D18" s="1">
        <v>62.98</v>
      </c>
      <c r="E18" s="1">
        <v>-12.83</v>
      </c>
      <c r="F18" s="1">
        <v>-6.55</v>
      </c>
      <c r="G18" s="1">
        <v>-10.36</v>
      </c>
      <c r="H18" s="1"/>
    </row>
    <row r="19" spans="1:8" ht="15" customHeight="1">
      <c r="A19" s="9" t="s">
        <v>194</v>
      </c>
      <c r="B19" s="1">
        <v>-1.59</v>
      </c>
      <c r="C19" s="1">
        <v>-5.68</v>
      </c>
      <c r="D19" s="1">
        <v>10.08</v>
      </c>
      <c r="E19" s="1">
        <v>-1.6</v>
      </c>
      <c r="F19" s="1">
        <v>-1.67</v>
      </c>
      <c r="G19" s="1">
        <v>-0.46</v>
      </c>
      <c r="H19" s="1"/>
    </row>
    <row r="20" spans="1:8" ht="15" customHeight="1">
      <c r="A20" s="9" t="s">
        <v>196</v>
      </c>
      <c r="B20" s="1">
        <v>-19.84</v>
      </c>
      <c r="C20" s="1">
        <v>-35.07</v>
      </c>
      <c r="D20" s="1">
        <v>63.26</v>
      </c>
      <c r="E20" s="1">
        <v>-13.64</v>
      </c>
      <c r="F20" s="1">
        <v>-6.29</v>
      </c>
      <c r="G20" s="1">
        <v>-11.57</v>
      </c>
      <c r="H20" s="1"/>
    </row>
    <row r="21" spans="1:8" ht="15" customHeight="1">
      <c r="A21" s="9" t="s">
        <v>198</v>
      </c>
      <c r="B21" s="1">
        <v>-17.98</v>
      </c>
      <c r="C21" s="1">
        <v>-32.36</v>
      </c>
      <c r="D21" s="1">
        <v>58.57</v>
      </c>
      <c r="E21" s="1">
        <v>-13.88</v>
      </c>
      <c r="F21" s="1">
        <v>-4.87</v>
      </c>
      <c r="G21" s="1">
        <v>-10.52</v>
      </c>
      <c r="H21" s="1"/>
    </row>
    <row r="22" spans="1:8" ht="15" customHeight="1">
      <c r="A22" s="9" t="s">
        <v>200</v>
      </c>
      <c r="B22" s="1">
        <v>-20.51</v>
      </c>
      <c r="C22" s="1">
        <v>-37.729999999999997</v>
      </c>
      <c r="D22" s="1">
        <v>68.540000000000006</v>
      </c>
      <c r="E22" s="1">
        <v>-16.57</v>
      </c>
      <c r="F22" s="1">
        <v>-5.2</v>
      </c>
      <c r="G22" s="1">
        <v>-11.46</v>
      </c>
      <c r="H22" s="1"/>
    </row>
    <row r="23" spans="1:8" ht="15" customHeight="1">
      <c r="A23" s="9" t="s">
        <v>202</v>
      </c>
      <c r="B23" s="1">
        <v>-30.74</v>
      </c>
      <c r="C23" s="1">
        <v>-60.37</v>
      </c>
      <c r="D23" s="1">
        <v>109.09</v>
      </c>
      <c r="E23" s="1">
        <v>-28.43</v>
      </c>
      <c r="F23" s="1">
        <v>-5.7</v>
      </c>
      <c r="G23" s="1">
        <v>-16.149999999999999</v>
      </c>
      <c r="H23" s="1"/>
    </row>
    <row r="24" spans="1:8" ht="15" customHeight="1">
      <c r="A24" s="9" t="s">
        <v>204</v>
      </c>
      <c r="B24" s="1">
        <v>-28.64</v>
      </c>
      <c r="C24" s="1">
        <v>-52.97</v>
      </c>
      <c r="D24" s="1">
        <v>97.08</v>
      </c>
      <c r="E24" s="1">
        <v>-30.51</v>
      </c>
      <c r="F24" s="1">
        <v>-2.86</v>
      </c>
      <c r="G24" s="1">
        <v>-17.899999999999999</v>
      </c>
      <c r="H24" s="1"/>
    </row>
    <row r="25" spans="1:8" ht="15" customHeight="1">
      <c r="A25" s="9" t="s">
        <v>206</v>
      </c>
      <c r="B25" s="1">
        <v>-13.89</v>
      </c>
      <c r="C25" s="1">
        <v>-25.91</v>
      </c>
      <c r="D25" s="1">
        <v>46.35</v>
      </c>
      <c r="E25" s="1">
        <v>-7.83</v>
      </c>
      <c r="F25" s="1">
        <v>-6.07</v>
      </c>
      <c r="G25" s="1">
        <v>-7.34</v>
      </c>
      <c r="H25" s="1"/>
    </row>
    <row r="26" spans="1:8" ht="15" customHeight="1">
      <c r="A26" s="9" t="s">
        <v>208</v>
      </c>
      <c r="B26" s="1">
        <v>-15.5</v>
      </c>
      <c r="C26" s="1">
        <v>-28.3</v>
      </c>
      <c r="D26" s="1">
        <v>50.72</v>
      </c>
      <c r="E26" s="1">
        <v>-9.8699999999999992</v>
      </c>
      <c r="F26" s="1">
        <v>-6.19</v>
      </c>
      <c r="G26" s="1">
        <v>-9.1300000000000008</v>
      </c>
      <c r="H26" s="1"/>
    </row>
    <row r="27" spans="1:8" ht="15" customHeight="1">
      <c r="A27" s="9" t="s">
        <v>210</v>
      </c>
      <c r="B27" s="1">
        <v>-15</v>
      </c>
      <c r="C27" s="1">
        <v>-27.86</v>
      </c>
      <c r="D27" s="1">
        <v>50.2</v>
      </c>
      <c r="E27" s="1">
        <v>-10.9</v>
      </c>
      <c r="F27" s="1">
        <v>-5.2</v>
      </c>
      <c r="G27" s="1">
        <v>-8.76</v>
      </c>
      <c r="H27" s="1"/>
    </row>
    <row r="28" spans="1:8" ht="15" customHeight="1">
      <c r="A28" s="9" t="s">
        <v>212</v>
      </c>
      <c r="B28" s="1">
        <v>-17.899999999999999</v>
      </c>
      <c r="C28" s="1">
        <v>-34.200000000000003</v>
      </c>
      <c r="D28" s="1">
        <v>62.05</v>
      </c>
      <c r="E28" s="1">
        <v>-14.43</v>
      </c>
      <c r="F28" s="1">
        <v>-5.59</v>
      </c>
      <c r="G28" s="1">
        <v>-10.08</v>
      </c>
      <c r="H28" s="1"/>
    </row>
    <row r="29" spans="1:8" ht="15" customHeight="1">
      <c r="A29" s="10" t="s">
        <v>214</v>
      </c>
      <c r="B29" s="1">
        <v>-26.78</v>
      </c>
      <c r="C29" s="1">
        <v>-47.02</v>
      </c>
      <c r="D29" s="1">
        <v>86.54</v>
      </c>
      <c r="E29" s="1">
        <v>-28.22</v>
      </c>
      <c r="F29" s="1">
        <v>-2.11</v>
      </c>
      <c r="G29" s="1">
        <v>-17.59</v>
      </c>
      <c r="H29" s="1"/>
    </row>
    <row r="30" spans="1:8" ht="15" customHeight="1">
      <c r="A30" s="9" t="s">
        <v>159</v>
      </c>
      <c r="B30" s="1">
        <v>-45.74</v>
      </c>
      <c r="C30" s="1">
        <v>-97.63</v>
      </c>
      <c r="D30" s="1">
        <v>189.66</v>
      </c>
      <c r="E30" s="1">
        <v>-38.36</v>
      </c>
      <c r="F30" s="1">
        <v>-27.1</v>
      </c>
      <c r="G30" s="1">
        <v>-19.18</v>
      </c>
      <c r="H30" s="1"/>
    </row>
    <row r="31" spans="1:8" ht="15" customHeight="1">
      <c r="A31" s="9" t="s">
        <v>161</v>
      </c>
      <c r="B31" s="1">
        <v>-81.95</v>
      </c>
      <c r="C31" s="1">
        <v>-157.6</v>
      </c>
      <c r="D31" s="1">
        <v>318.5</v>
      </c>
      <c r="E31" s="1">
        <v>-85.93</v>
      </c>
      <c r="F31" s="1">
        <v>-24.59</v>
      </c>
      <c r="G31" s="1">
        <v>-31.58</v>
      </c>
      <c r="H31" s="1"/>
    </row>
    <row r="32" spans="1:8" ht="15" customHeight="1">
      <c r="A32" s="9" t="s">
        <v>163</v>
      </c>
      <c r="B32" s="1">
        <v>-55.69</v>
      </c>
      <c r="C32" s="1">
        <v>-111.18</v>
      </c>
      <c r="D32" s="1">
        <v>220.7</v>
      </c>
      <c r="E32" s="1">
        <v>-52.3</v>
      </c>
      <c r="F32" s="1">
        <v>-23.98</v>
      </c>
      <c r="G32" s="1">
        <v>-22.45</v>
      </c>
    </row>
    <row r="33" spans="1:8" ht="15" customHeight="1">
      <c r="A33" s="9" t="s">
        <v>165</v>
      </c>
      <c r="B33" s="1">
        <v>-4.17</v>
      </c>
      <c r="C33" s="1">
        <v>-11.81</v>
      </c>
      <c r="D33" s="1">
        <v>21.59</v>
      </c>
      <c r="E33" s="1">
        <v>-0.82</v>
      </c>
      <c r="F33" s="1">
        <v>-5.38</v>
      </c>
      <c r="G33" s="1">
        <v>-0.59</v>
      </c>
    </row>
    <row r="34" spans="1:8" ht="15" customHeight="1">
      <c r="A34" s="9" t="s">
        <v>167</v>
      </c>
      <c r="B34" s="1">
        <v>-1.33</v>
      </c>
      <c r="C34" s="1">
        <v>-5.1100000000000003</v>
      </c>
      <c r="D34" s="1">
        <v>8.8800000000000008</v>
      </c>
      <c r="E34" s="1">
        <v>0</v>
      </c>
      <c r="F34" s="1">
        <v>-2.06</v>
      </c>
      <c r="G34" s="1">
        <v>0.38</v>
      </c>
    </row>
    <row r="35" spans="1:8" ht="15" customHeight="1">
      <c r="A35" s="9" t="s">
        <v>169</v>
      </c>
      <c r="B35" s="1">
        <v>-17.12</v>
      </c>
      <c r="C35" s="1">
        <v>-39.96</v>
      </c>
      <c r="D35" s="1">
        <v>78</v>
      </c>
      <c r="E35" s="1">
        <v>-12.54</v>
      </c>
      <c r="F35" s="1">
        <v>-12.14</v>
      </c>
      <c r="G35" s="1">
        <v>-3.77</v>
      </c>
    </row>
    <row r="36" spans="1:8" ht="15" customHeight="1">
      <c r="A36" s="9" t="s">
        <v>171</v>
      </c>
      <c r="B36" s="1">
        <v>-40.89</v>
      </c>
      <c r="C36" s="1">
        <v>-83.71</v>
      </c>
      <c r="D36" s="1">
        <v>165.53</v>
      </c>
      <c r="E36" s="1">
        <v>-33.04</v>
      </c>
      <c r="F36" s="1">
        <v>-21.87</v>
      </c>
      <c r="G36" s="1">
        <v>-13.98</v>
      </c>
    </row>
    <row r="37" spans="1:8" ht="15" customHeight="1">
      <c r="A37" s="9" t="s">
        <v>173</v>
      </c>
      <c r="B37" s="1">
        <v>-9.74</v>
      </c>
      <c r="C37" s="1">
        <v>-24.62</v>
      </c>
      <c r="D37" s="1">
        <v>46.72</v>
      </c>
      <c r="E37" s="1">
        <v>-5.24</v>
      </c>
      <c r="F37" s="1">
        <v>-9.25</v>
      </c>
      <c r="G37" s="1">
        <v>-2.13</v>
      </c>
    </row>
    <row r="38" spans="1:8" ht="15" customHeight="1">
      <c r="A38" s="9" t="s">
        <v>175</v>
      </c>
      <c r="B38" s="1">
        <v>-7.19</v>
      </c>
      <c r="C38" s="1">
        <v>-19.8</v>
      </c>
      <c r="D38" s="1">
        <v>37.229999999999997</v>
      </c>
      <c r="E38" s="1">
        <v>-3.62</v>
      </c>
      <c r="F38" s="1">
        <v>-8.1</v>
      </c>
      <c r="G38" s="1">
        <v>-1.48</v>
      </c>
    </row>
    <row r="39" spans="1:8" ht="15" customHeight="1">
      <c r="A39" s="9" t="s">
        <v>177</v>
      </c>
      <c r="B39" s="1">
        <v>-45.26</v>
      </c>
      <c r="C39" s="1">
        <v>-90.91</v>
      </c>
      <c r="D39" s="1">
        <v>181.19</v>
      </c>
      <c r="E39" s="1">
        <v>-39.69</v>
      </c>
      <c r="F39" s="1">
        <v>-21.92</v>
      </c>
      <c r="G39" s="1">
        <v>-16.59</v>
      </c>
    </row>
    <row r="40" spans="1:8" ht="15" customHeight="1">
      <c r="A40" s="9" t="s">
        <v>179</v>
      </c>
      <c r="B40" s="1">
        <v>-42.62</v>
      </c>
      <c r="C40" s="1">
        <v>-87.31</v>
      </c>
      <c r="D40" s="1">
        <v>173</v>
      </c>
      <c r="E40" s="1">
        <v>-38.840000000000003</v>
      </c>
      <c r="F40" s="1">
        <v>-19.559999999999999</v>
      </c>
      <c r="G40" s="1">
        <v>-15.35</v>
      </c>
    </row>
    <row r="41" spans="1:8" ht="15" customHeight="1">
      <c r="A41" s="9" t="s">
        <v>181</v>
      </c>
      <c r="B41" s="1">
        <v>-42.2</v>
      </c>
      <c r="C41" s="1">
        <v>-85.44</v>
      </c>
      <c r="D41" s="1">
        <v>171.49</v>
      </c>
      <c r="E41" s="1">
        <v>-38.1</v>
      </c>
      <c r="F41" s="1">
        <v>-19.53</v>
      </c>
      <c r="G41" s="1">
        <v>-13.78</v>
      </c>
    </row>
    <row r="42" spans="1:8" ht="15" customHeight="1">
      <c r="A42" s="9" t="s">
        <v>183</v>
      </c>
      <c r="B42" s="1">
        <v>-96.81</v>
      </c>
      <c r="C42" s="1">
        <v>-174.21</v>
      </c>
      <c r="D42" s="1">
        <v>360.2</v>
      </c>
      <c r="E42" s="1">
        <v>-106.3</v>
      </c>
      <c r="F42" s="1">
        <v>-23.14</v>
      </c>
      <c r="G42" s="1">
        <v>-40.26</v>
      </c>
    </row>
    <row r="43" spans="1:8" ht="15" customHeight="1">
      <c r="A43" s="9" t="s">
        <v>185</v>
      </c>
      <c r="B43" s="1">
        <v>-76.63</v>
      </c>
      <c r="C43" s="1">
        <v>-144.15</v>
      </c>
      <c r="D43" s="1">
        <v>293.37</v>
      </c>
      <c r="E43" s="1">
        <v>-80.77</v>
      </c>
      <c r="F43" s="1">
        <v>-25.6</v>
      </c>
      <c r="G43" s="1">
        <v>-33.78</v>
      </c>
    </row>
    <row r="44" spans="1:8" ht="15" customHeight="1">
      <c r="A44" s="21" t="s">
        <v>187</v>
      </c>
      <c r="B44" s="1">
        <v>-72.73</v>
      </c>
      <c r="C44" s="1">
        <v>-139.46</v>
      </c>
      <c r="D44" s="1">
        <v>281.02</v>
      </c>
      <c r="E44" s="1">
        <v>-78.959999999999994</v>
      </c>
      <c r="F44" s="1">
        <v>-21.53</v>
      </c>
      <c r="G44" s="1">
        <v>-31.67</v>
      </c>
      <c r="H44" s="1"/>
    </row>
    <row r="45" spans="1:8" ht="15" customHeight="1">
      <c r="A45" s="9" t="s">
        <v>189</v>
      </c>
      <c r="B45" s="1">
        <v>-91</v>
      </c>
      <c r="C45" s="1">
        <v>-166.67</v>
      </c>
      <c r="D45" s="1">
        <v>342.11</v>
      </c>
      <c r="E45" s="1">
        <v>-99.24</v>
      </c>
      <c r="F45" s="1">
        <v>-22.08</v>
      </c>
      <c r="G45" s="1">
        <v>-36.89</v>
      </c>
    </row>
    <row r="46" spans="1:8" ht="15" customHeight="1">
      <c r="A46" s="9" t="s">
        <v>191</v>
      </c>
      <c r="B46" s="1">
        <v>-27.87</v>
      </c>
      <c r="C46" s="1">
        <v>-60.16</v>
      </c>
      <c r="D46" s="1">
        <v>115.38</v>
      </c>
      <c r="E46" s="1">
        <v>-16.38</v>
      </c>
      <c r="F46" s="1">
        <v>-20.97</v>
      </c>
      <c r="G46" s="1">
        <v>-10.01</v>
      </c>
    </row>
    <row r="47" spans="1:8" ht="15" customHeight="1">
      <c r="A47" s="9" t="s">
        <v>193</v>
      </c>
      <c r="B47" s="1">
        <v>-2.64</v>
      </c>
      <c r="C47" s="1">
        <v>-8.58</v>
      </c>
      <c r="D47" s="1">
        <v>15.42</v>
      </c>
      <c r="E47" s="1">
        <v>-0.26</v>
      </c>
      <c r="F47" s="1">
        <v>-3.96</v>
      </c>
      <c r="G47" s="1">
        <v>-0.02</v>
      </c>
    </row>
    <row r="48" spans="1:8" ht="15" customHeight="1">
      <c r="A48" s="9" t="s">
        <v>195</v>
      </c>
      <c r="B48" s="1">
        <v>-29.13</v>
      </c>
      <c r="C48" s="1">
        <v>-62.15</v>
      </c>
      <c r="D48" s="1">
        <v>119.64</v>
      </c>
      <c r="E48" s="1">
        <v>-19.09</v>
      </c>
      <c r="F48" s="1">
        <v>-20.8</v>
      </c>
      <c r="G48" s="1">
        <v>-11.53</v>
      </c>
    </row>
    <row r="49" spans="1:7" ht="15" customHeight="1">
      <c r="A49" s="9" t="s">
        <v>197</v>
      </c>
      <c r="B49" s="1">
        <v>-28.49</v>
      </c>
      <c r="C49" s="1">
        <v>-61.74</v>
      </c>
      <c r="D49" s="1">
        <v>118.29</v>
      </c>
      <c r="E49" s="1">
        <v>-19.7</v>
      </c>
      <c r="F49" s="1">
        <v>-18.72</v>
      </c>
      <c r="G49" s="1">
        <v>-10.37</v>
      </c>
    </row>
    <row r="50" spans="1:7" ht="15" customHeight="1">
      <c r="A50" s="9" t="s">
        <v>199</v>
      </c>
      <c r="B50" s="1">
        <v>-37.89</v>
      </c>
      <c r="C50" s="1">
        <v>-79.28</v>
      </c>
      <c r="D50" s="1">
        <v>155.22999999999999</v>
      </c>
      <c r="E50" s="1">
        <v>-29.45</v>
      </c>
      <c r="F50" s="1">
        <v>-21.52</v>
      </c>
      <c r="G50" s="1">
        <v>-12.91</v>
      </c>
    </row>
    <row r="51" spans="1:7" ht="15" customHeight="1">
      <c r="A51" s="9" t="s">
        <v>201</v>
      </c>
      <c r="B51" s="1">
        <v>-57.33</v>
      </c>
      <c r="C51" s="1">
        <v>-117.36</v>
      </c>
      <c r="D51" s="1">
        <v>230.41</v>
      </c>
      <c r="E51" s="1">
        <v>-55.46</v>
      </c>
      <c r="F51" s="1">
        <v>-22.61</v>
      </c>
      <c r="G51" s="1">
        <v>-22.35</v>
      </c>
    </row>
    <row r="52" spans="1:7" ht="15" customHeight="1">
      <c r="A52" s="9" t="s">
        <v>203</v>
      </c>
      <c r="B52" s="1">
        <v>-60.29</v>
      </c>
      <c r="C52" s="1">
        <v>-118.54</v>
      </c>
      <c r="D52" s="1">
        <v>237.64</v>
      </c>
      <c r="E52" s="1">
        <v>-64.239999999999995</v>
      </c>
      <c r="F52" s="1">
        <v>-19.8</v>
      </c>
      <c r="G52" s="1">
        <v>-25.23</v>
      </c>
    </row>
    <row r="53" spans="1:7" ht="15" customHeight="1">
      <c r="A53" s="9" t="s">
        <v>205</v>
      </c>
      <c r="B53" s="1">
        <v>-18.559999999999999</v>
      </c>
      <c r="C53" s="1">
        <v>-43.21</v>
      </c>
      <c r="D53" s="1">
        <v>81.17</v>
      </c>
      <c r="E53" s="1">
        <v>-9.18</v>
      </c>
      <c r="F53" s="1">
        <v>-17.48</v>
      </c>
      <c r="G53" s="1">
        <v>-7.25</v>
      </c>
    </row>
    <row r="54" spans="1:7" ht="15" customHeight="1">
      <c r="A54" s="9" t="s">
        <v>207</v>
      </c>
      <c r="B54" s="1">
        <v>-23.83</v>
      </c>
      <c r="C54" s="1">
        <v>-53.37</v>
      </c>
      <c r="D54" s="1">
        <v>101.79</v>
      </c>
      <c r="E54" s="1">
        <v>-14.99</v>
      </c>
      <c r="F54" s="1">
        <v>-19.59</v>
      </c>
      <c r="G54" s="1">
        <v>-9.99</v>
      </c>
    </row>
    <row r="55" spans="1:7" ht="15" customHeight="1">
      <c r="A55" s="9" t="s">
        <v>209</v>
      </c>
      <c r="B55" s="1">
        <v>-26.45</v>
      </c>
      <c r="C55" s="1">
        <v>-59.56</v>
      </c>
      <c r="D55" s="1">
        <v>113.75</v>
      </c>
      <c r="E55" s="1">
        <v>-18.23</v>
      </c>
      <c r="F55" s="1">
        <v>-19.29</v>
      </c>
      <c r="G55" s="1">
        <v>-9.7799999999999994</v>
      </c>
    </row>
    <row r="56" spans="1:7" ht="15" customHeight="1">
      <c r="A56" s="9" t="s">
        <v>211</v>
      </c>
      <c r="B56" s="1">
        <v>-40.97</v>
      </c>
      <c r="C56" s="1">
        <v>-87.27</v>
      </c>
      <c r="D56" s="1">
        <v>172.27</v>
      </c>
      <c r="E56" s="1">
        <v>-34.72</v>
      </c>
      <c r="F56" s="1">
        <v>-23.13</v>
      </c>
      <c r="G56" s="1">
        <v>-13.82</v>
      </c>
    </row>
    <row r="57" spans="1:7" ht="15" customHeight="1">
      <c r="A57" s="10" t="s">
        <v>213</v>
      </c>
      <c r="B57" s="1">
        <v>-58.27</v>
      </c>
      <c r="C57" s="1">
        <v>-112.23</v>
      </c>
      <c r="D57" s="1">
        <v>227.29</v>
      </c>
      <c r="E57" s="1">
        <v>-60.88</v>
      </c>
      <c r="F57" s="1">
        <v>-19.38</v>
      </c>
      <c r="G57" s="1">
        <v>-23.47</v>
      </c>
    </row>
  </sheetData>
  <phoneticPr fontId="3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"/>
  <sheetViews>
    <sheetView workbookViewId="0">
      <pane ySplit="1" topLeftCell="A4" activePane="bottomLeft" state="frozen"/>
      <selection pane="bottomLeft"/>
    </sheetView>
  </sheetViews>
  <sheetFormatPr defaultRowHeight="13.5"/>
  <cols>
    <col min="1" max="1" width="32" style="29" customWidth="1"/>
    <col min="2" max="2" width="24.53125" style="29" customWidth="1"/>
    <col min="3" max="3" width="10.6640625" style="29" customWidth="1"/>
    <col min="4" max="4" width="38.3984375" style="29" customWidth="1"/>
    <col min="5" max="5" width="42.6640625" style="29" customWidth="1"/>
    <col min="6" max="6" width="23.46484375" style="29" customWidth="1"/>
    <col min="7" max="7" width="24.53125" style="29" customWidth="1"/>
    <col min="8" max="8" width="16" style="29" customWidth="1"/>
    <col min="9" max="9" width="17.06640625" style="29" customWidth="1"/>
    <col min="10" max="10" width="14.9296875" style="29" customWidth="1"/>
    <col min="11" max="11" width="22.3984375" style="29" customWidth="1"/>
    <col min="12" max="12" width="13.86328125" style="29" customWidth="1"/>
    <col min="13" max="13" width="19.19921875" style="29" customWidth="1"/>
    <col min="14" max="14" width="39.46484375" style="29" customWidth="1"/>
    <col min="15" max="16384" width="9.06640625" style="29"/>
  </cols>
  <sheetData>
    <row r="1" spans="1:15" ht="31.05" customHeight="1">
      <c r="A1" s="28" t="s">
        <v>31</v>
      </c>
      <c r="B1" s="28" t="s">
        <v>32</v>
      </c>
      <c r="C1" s="28" t="s">
        <v>215</v>
      </c>
      <c r="D1" s="28" t="s">
        <v>33</v>
      </c>
      <c r="E1" s="28" t="s">
        <v>34</v>
      </c>
      <c r="F1" s="28" t="s">
        <v>35</v>
      </c>
      <c r="G1" s="28" t="s">
        <v>36</v>
      </c>
      <c r="H1" s="28" t="s">
        <v>37</v>
      </c>
      <c r="I1" s="28" t="s">
        <v>38</v>
      </c>
      <c r="J1" s="28" t="s">
        <v>39</v>
      </c>
      <c r="K1" s="28" t="s">
        <v>40</v>
      </c>
      <c r="L1" s="28" t="s">
        <v>41</v>
      </c>
      <c r="M1" s="28" t="s">
        <v>42</v>
      </c>
      <c r="N1" s="28" t="s">
        <v>43</v>
      </c>
      <c r="O1" t="s">
        <v>217</v>
      </c>
    </row>
    <row r="2" spans="1:15" ht="13.9">
      <c r="A2" s="29" t="s">
        <v>44</v>
      </c>
      <c r="B2" s="29" t="s">
        <v>45</v>
      </c>
      <c r="C2" s="29" t="s">
        <v>160</v>
      </c>
      <c r="D2" s="29" t="s">
        <v>46</v>
      </c>
      <c r="E2" s="29" t="s">
        <v>47</v>
      </c>
      <c r="F2" s="29">
        <v>17.66</v>
      </c>
      <c r="G2" s="29">
        <v>24.95</v>
      </c>
      <c r="H2" s="29">
        <v>10</v>
      </c>
      <c r="I2" s="29">
        <v>48</v>
      </c>
      <c r="J2" s="29">
        <v>336</v>
      </c>
      <c r="K2" s="29">
        <v>12.652699999999999</v>
      </c>
      <c r="L2" s="29">
        <v>0</v>
      </c>
      <c r="M2" s="29">
        <v>6728</v>
      </c>
      <c r="N2" s="29" t="s">
        <v>48</v>
      </c>
      <c r="O2" t="s">
        <v>218</v>
      </c>
    </row>
    <row r="3" spans="1:15" ht="13.9">
      <c r="A3" s="29" t="s">
        <v>49</v>
      </c>
      <c r="B3" s="29" t="s">
        <v>50</v>
      </c>
      <c r="C3" s="29" t="s">
        <v>162</v>
      </c>
      <c r="D3" s="29" t="s">
        <v>51</v>
      </c>
      <c r="E3" s="29" t="s">
        <v>47</v>
      </c>
      <c r="F3" s="29">
        <v>73.75</v>
      </c>
      <c r="G3" s="29">
        <v>91.71</v>
      </c>
      <c r="H3" s="29">
        <v>13</v>
      </c>
      <c r="I3" s="29">
        <v>75</v>
      </c>
      <c r="J3" s="29">
        <v>739</v>
      </c>
      <c r="K3" s="29">
        <v>20.750399999999999</v>
      </c>
      <c r="L3" s="29">
        <v>0</v>
      </c>
      <c r="M3" s="29">
        <v>9067</v>
      </c>
      <c r="N3" s="29" t="s">
        <v>48</v>
      </c>
      <c r="O3" t="s">
        <v>218</v>
      </c>
    </row>
    <row r="4" spans="1:15" ht="13.9">
      <c r="A4" s="29" t="s">
        <v>52</v>
      </c>
      <c r="B4" s="29" t="s">
        <v>53</v>
      </c>
      <c r="C4" s="29" t="s">
        <v>164</v>
      </c>
      <c r="D4" s="29" t="s">
        <v>54</v>
      </c>
      <c r="E4" s="29" t="s">
        <v>55</v>
      </c>
      <c r="F4" s="29">
        <v>606.65</v>
      </c>
      <c r="G4" s="29">
        <v>642.62</v>
      </c>
      <c r="H4" s="29">
        <v>19</v>
      </c>
      <c r="I4" s="29">
        <v>120</v>
      </c>
      <c r="J4" s="29">
        <v>615</v>
      </c>
      <c r="K4" s="29">
        <v>17.837800000000001</v>
      </c>
      <c r="L4" s="29">
        <v>0</v>
      </c>
      <c r="M4" s="29">
        <v>8089</v>
      </c>
      <c r="N4" s="29" t="s">
        <v>56</v>
      </c>
      <c r="O4" t="s">
        <v>218</v>
      </c>
    </row>
    <row r="5" spans="1:15" ht="13.9">
      <c r="A5" s="29" t="s">
        <v>57</v>
      </c>
      <c r="B5" s="29" t="s">
        <v>58</v>
      </c>
      <c r="C5" s="29" t="s">
        <v>166</v>
      </c>
      <c r="D5" s="29" t="s">
        <v>59</v>
      </c>
      <c r="E5" s="29" t="s">
        <v>47</v>
      </c>
      <c r="F5" s="29">
        <v>10.210000000000001</v>
      </c>
      <c r="G5" s="29">
        <v>10.77</v>
      </c>
      <c r="H5" s="29">
        <v>5</v>
      </c>
      <c r="I5" s="29">
        <v>13</v>
      </c>
      <c r="J5" s="29">
        <v>109</v>
      </c>
      <c r="K5" s="29">
        <v>9.2393000000000001</v>
      </c>
      <c r="L5" s="29">
        <v>0</v>
      </c>
      <c r="M5" s="29">
        <v>2001</v>
      </c>
      <c r="N5" s="29" t="s">
        <v>48</v>
      </c>
      <c r="O5" t="s">
        <v>218</v>
      </c>
    </row>
    <row r="6" spans="1:15" ht="13.9">
      <c r="A6" s="29" t="s">
        <v>60</v>
      </c>
      <c r="B6" s="29" t="s">
        <v>61</v>
      </c>
      <c r="C6" s="29" t="s">
        <v>168</v>
      </c>
      <c r="D6" s="29" t="s">
        <v>62</v>
      </c>
      <c r="E6" s="29" t="s">
        <v>47</v>
      </c>
      <c r="F6" s="29">
        <v>0.89</v>
      </c>
      <c r="G6" s="29">
        <v>1.1100000000000001</v>
      </c>
      <c r="H6" s="29">
        <v>2</v>
      </c>
      <c r="I6" s="29">
        <v>8</v>
      </c>
      <c r="J6" s="29">
        <v>109</v>
      </c>
      <c r="K6" s="29">
        <v>14.282500000000001</v>
      </c>
      <c r="L6" s="29">
        <v>0</v>
      </c>
      <c r="M6" s="29">
        <v>2152</v>
      </c>
      <c r="N6" s="29" t="s">
        <v>48</v>
      </c>
      <c r="O6" t="s">
        <v>218</v>
      </c>
    </row>
    <row r="7" spans="1:15" ht="13.9">
      <c r="A7" s="29" t="s">
        <v>63</v>
      </c>
      <c r="B7" s="29" t="s">
        <v>64</v>
      </c>
      <c r="C7" s="29" t="s">
        <v>170</v>
      </c>
      <c r="D7" s="29" t="s">
        <v>59</v>
      </c>
      <c r="E7" s="29" t="s">
        <v>47</v>
      </c>
      <c r="F7" s="29">
        <v>24.91</v>
      </c>
      <c r="G7" s="29">
        <v>26.34</v>
      </c>
      <c r="H7" s="29">
        <v>8</v>
      </c>
      <c r="I7" s="29">
        <v>24</v>
      </c>
      <c r="J7" s="29">
        <v>125</v>
      </c>
      <c r="K7" s="29">
        <v>10.5185</v>
      </c>
      <c r="L7" s="29">
        <v>0</v>
      </c>
      <c r="M7" s="29">
        <v>2022</v>
      </c>
      <c r="N7" s="29" t="s">
        <v>48</v>
      </c>
      <c r="O7" t="s">
        <v>218</v>
      </c>
    </row>
    <row r="8" spans="1:15" ht="13.9">
      <c r="A8" s="29" t="s">
        <v>65</v>
      </c>
      <c r="B8" s="29" t="s">
        <v>66</v>
      </c>
      <c r="C8" s="29" t="s">
        <v>172</v>
      </c>
      <c r="D8" s="29" t="s">
        <v>54</v>
      </c>
      <c r="E8" s="29" t="s">
        <v>47</v>
      </c>
      <c r="F8" s="29">
        <v>48.36</v>
      </c>
      <c r="G8" s="29">
        <v>52.33</v>
      </c>
      <c r="H8" s="29">
        <v>9</v>
      </c>
      <c r="I8" s="29">
        <v>43</v>
      </c>
      <c r="J8" s="29">
        <v>242</v>
      </c>
      <c r="K8" s="29">
        <v>16.307400000000001</v>
      </c>
      <c r="L8" s="29">
        <v>0</v>
      </c>
      <c r="M8" s="29">
        <v>4318</v>
      </c>
      <c r="N8" s="29" t="s">
        <v>48</v>
      </c>
      <c r="O8" t="s">
        <v>218</v>
      </c>
    </row>
    <row r="9" spans="1:15" ht="13.9">
      <c r="A9" s="29" t="s">
        <v>67</v>
      </c>
      <c r="B9" s="29" t="s">
        <v>68</v>
      </c>
      <c r="C9" s="29" t="s">
        <v>174</v>
      </c>
      <c r="D9" s="29" t="s">
        <v>59</v>
      </c>
      <c r="E9" s="29" t="s">
        <v>47</v>
      </c>
      <c r="F9" s="29">
        <v>16.940000000000001</v>
      </c>
      <c r="G9" s="29">
        <v>18.079999999999998</v>
      </c>
      <c r="H9" s="29">
        <v>7</v>
      </c>
      <c r="I9" s="29">
        <v>19</v>
      </c>
      <c r="J9" s="29">
        <v>113</v>
      </c>
      <c r="K9" s="29">
        <v>13.4893</v>
      </c>
      <c r="L9" s="29">
        <v>0</v>
      </c>
      <c r="M9" s="29">
        <v>2011</v>
      </c>
      <c r="N9" s="29" t="s">
        <v>48</v>
      </c>
      <c r="O9" t="s">
        <v>218</v>
      </c>
    </row>
    <row r="10" spans="1:15" ht="13.9">
      <c r="A10" s="29" t="s">
        <v>69</v>
      </c>
      <c r="B10" s="29" t="s">
        <v>70</v>
      </c>
      <c r="C10" s="29" t="s">
        <v>176</v>
      </c>
      <c r="D10" s="29" t="s">
        <v>71</v>
      </c>
      <c r="E10" s="29" t="s">
        <v>47</v>
      </c>
      <c r="F10" s="29">
        <v>6.21</v>
      </c>
      <c r="G10" s="29">
        <v>9.43</v>
      </c>
      <c r="H10" s="29">
        <v>5</v>
      </c>
      <c r="I10" s="29">
        <v>17</v>
      </c>
      <c r="J10" s="29">
        <v>124</v>
      </c>
      <c r="K10" s="29">
        <v>16.7683</v>
      </c>
      <c r="L10" s="29">
        <v>0</v>
      </c>
      <c r="M10" s="29">
        <v>2084</v>
      </c>
      <c r="N10" s="29" t="s">
        <v>48</v>
      </c>
      <c r="O10" t="s">
        <v>218</v>
      </c>
    </row>
    <row r="11" spans="1:15" ht="13.9">
      <c r="A11" s="29" t="s">
        <v>72</v>
      </c>
      <c r="B11" s="29" t="s">
        <v>73</v>
      </c>
      <c r="C11" s="29" t="s">
        <v>178</v>
      </c>
      <c r="D11" s="29" t="s">
        <v>74</v>
      </c>
      <c r="E11" s="29" t="s">
        <v>47</v>
      </c>
      <c r="F11" s="29">
        <v>51.83</v>
      </c>
      <c r="G11" s="29">
        <v>56.35</v>
      </c>
      <c r="H11" s="29">
        <v>10</v>
      </c>
      <c r="I11" s="29">
        <v>43</v>
      </c>
      <c r="J11" s="29">
        <v>242</v>
      </c>
      <c r="K11" s="29">
        <v>10.5054</v>
      </c>
      <c r="L11" s="29">
        <v>0</v>
      </c>
      <c r="M11" s="29">
        <v>3764</v>
      </c>
      <c r="N11" s="29" t="s">
        <v>48</v>
      </c>
      <c r="O11" t="s">
        <v>218</v>
      </c>
    </row>
    <row r="12" spans="1:15" ht="13.9">
      <c r="A12" s="29" t="s">
        <v>75</v>
      </c>
      <c r="B12" s="29" t="s">
        <v>76</v>
      </c>
      <c r="C12" s="29" t="s">
        <v>180</v>
      </c>
      <c r="D12" s="29" t="s">
        <v>59</v>
      </c>
      <c r="E12" s="29" t="s">
        <v>47</v>
      </c>
      <c r="F12" s="29">
        <v>42.06</v>
      </c>
      <c r="G12" s="29">
        <v>47.98</v>
      </c>
      <c r="H12" s="29">
        <v>9</v>
      </c>
      <c r="I12" s="29">
        <v>40</v>
      </c>
      <c r="J12" s="29">
        <v>599</v>
      </c>
      <c r="K12" s="29">
        <v>12.765499999999999</v>
      </c>
      <c r="L12" s="29">
        <v>0</v>
      </c>
      <c r="M12" s="29">
        <v>7514</v>
      </c>
      <c r="N12" s="29" t="s">
        <v>48</v>
      </c>
      <c r="O12" t="s">
        <v>218</v>
      </c>
    </row>
    <row r="13" spans="1:15" ht="13.9">
      <c r="A13" s="29" t="s">
        <v>77</v>
      </c>
      <c r="B13" s="29" t="s">
        <v>78</v>
      </c>
      <c r="C13" s="29" t="s">
        <v>182</v>
      </c>
      <c r="D13" s="29" t="s">
        <v>79</v>
      </c>
      <c r="E13" s="29" t="s">
        <v>47</v>
      </c>
      <c r="F13" s="29">
        <v>35.11</v>
      </c>
      <c r="G13" s="29">
        <v>49.08</v>
      </c>
      <c r="H13" s="29">
        <v>9</v>
      </c>
      <c r="I13" s="29">
        <v>43</v>
      </c>
      <c r="J13" s="29">
        <v>516</v>
      </c>
      <c r="K13" s="29">
        <v>10.1274</v>
      </c>
      <c r="L13" s="29">
        <v>0</v>
      </c>
      <c r="M13" s="29">
        <v>5606</v>
      </c>
      <c r="N13" s="29" t="s">
        <v>48</v>
      </c>
      <c r="O13" t="s">
        <v>218</v>
      </c>
    </row>
    <row r="14" spans="1:15" ht="13.9">
      <c r="A14" s="29" t="s">
        <v>80</v>
      </c>
      <c r="B14" s="29" t="s">
        <v>81</v>
      </c>
      <c r="C14" s="29" t="s">
        <v>184</v>
      </c>
      <c r="D14" s="29" t="s">
        <v>59</v>
      </c>
      <c r="E14" s="29" t="s">
        <v>47</v>
      </c>
      <c r="F14" s="29">
        <v>539.62</v>
      </c>
      <c r="G14" s="29">
        <v>567.15</v>
      </c>
      <c r="H14" s="29">
        <v>17</v>
      </c>
      <c r="I14" s="29">
        <v>99</v>
      </c>
      <c r="J14" s="29">
        <v>415</v>
      </c>
      <c r="K14" s="29">
        <v>22.049399999999999</v>
      </c>
      <c r="L14" s="29">
        <v>0</v>
      </c>
      <c r="M14" s="29">
        <v>5575</v>
      </c>
      <c r="N14" s="29" t="s">
        <v>56</v>
      </c>
      <c r="O14" t="s">
        <v>218</v>
      </c>
    </row>
    <row r="15" spans="1:15" ht="13.9">
      <c r="A15" s="29" t="s">
        <v>82</v>
      </c>
      <c r="B15" s="29" t="s">
        <v>83</v>
      </c>
      <c r="C15" s="29" t="s">
        <v>186</v>
      </c>
      <c r="D15" s="29" t="s">
        <v>84</v>
      </c>
      <c r="E15" s="29" t="s">
        <v>47</v>
      </c>
      <c r="F15" s="29">
        <v>87.96</v>
      </c>
      <c r="G15" s="29">
        <v>105.24</v>
      </c>
      <c r="H15" s="29">
        <v>12</v>
      </c>
      <c r="I15" s="29">
        <v>68</v>
      </c>
      <c r="J15" s="29">
        <v>380</v>
      </c>
      <c r="K15" s="29">
        <v>21.783999999999999</v>
      </c>
      <c r="L15" s="29">
        <v>0</v>
      </c>
      <c r="M15" s="29">
        <v>6184</v>
      </c>
      <c r="N15" s="29" t="s">
        <v>48</v>
      </c>
      <c r="O15" t="s">
        <v>218</v>
      </c>
    </row>
    <row r="16" spans="1:15" ht="15">
      <c r="A16" s="29" t="s">
        <v>85</v>
      </c>
      <c r="B16" s="29" t="s">
        <v>86</v>
      </c>
      <c r="C16" s="29" t="s">
        <v>188</v>
      </c>
      <c r="D16" s="29" t="s">
        <v>74</v>
      </c>
      <c r="E16" s="29" t="s">
        <v>47</v>
      </c>
      <c r="F16" s="29">
        <v>89.35</v>
      </c>
      <c r="G16" s="29">
        <v>128.35</v>
      </c>
      <c r="H16" s="29">
        <v>14</v>
      </c>
      <c r="I16" s="29">
        <v>70</v>
      </c>
      <c r="J16" s="29">
        <v>749</v>
      </c>
      <c r="K16">
        <v>11.9039</v>
      </c>
      <c r="L16" s="29">
        <v>0</v>
      </c>
      <c r="M16" s="29">
        <v>8471</v>
      </c>
      <c r="N16" s="31" t="s">
        <v>48</v>
      </c>
      <c r="O16" t="s">
        <v>218</v>
      </c>
    </row>
    <row r="17" spans="1:15" ht="13.9">
      <c r="A17" s="29" t="s">
        <v>87</v>
      </c>
      <c r="B17" s="29" t="s">
        <v>88</v>
      </c>
      <c r="C17" s="29" t="s">
        <v>190</v>
      </c>
      <c r="D17" s="29" t="s">
        <v>89</v>
      </c>
      <c r="E17" s="29" t="s">
        <v>47</v>
      </c>
      <c r="F17" s="29">
        <v>630.08000000000004</v>
      </c>
      <c r="G17" s="29">
        <v>678.08</v>
      </c>
      <c r="H17" s="29">
        <v>19</v>
      </c>
      <c r="I17" s="29">
        <v>121</v>
      </c>
      <c r="J17" s="29">
        <v>609</v>
      </c>
      <c r="K17" s="29">
        <v>17.138200000000001</v>
      </c>
      <c r="L17" s="29">
        <v>0</v>
      </c>
      <c r="M17" s="29">
        <v>7455</v>
      </c>
      <c r="N17" s="29" t="s">
        <v>56</v>
      </c>
      <c r="O17" t="s">
        <v>218</v>
      </c>
    </row>
    <row r="18" spans="1:15" ht="13.9">
      <c r="A18" s="29" t="s">
        <v>90</v>
      </c>
      <c r="B18" s="29" t="s">
        <v>91</v>
      </c>
      <c r="C18" s="29" t="s">
        <v>192</v>
      </c>
      <c r="D18" s="29" t="s">
        <v>92</v>
      </c>
      <c r="E18" s="29" t="s">
        <v>47</v>
      </c>
      <c r="F18" s="29">
        <v>22.71</v>
      </c>
      <c r="G18" s="29">
        <v>31.69</v>
      </c>
      <c r="H18" s="29">
        <v>9</v>
      </c>
      <c r="I18" s="29">
        <v>36</v>
      </c>
      <c r="J18" s="29">
        <v>239</v>
      </c>
      <c r="K18" s="29">
        <v>14.6111</v>
      </c>
      <c r="L18" s="29">
        <v>0</v>
      </c>
      <c r="M18" s="29">
        <v>4306</v>
      </c>
      <c r="N18" s="29" t="s">
        <v>48</v>
      </c>
      <c r="O18" t="s">
        <v>218</v>
      </c>
    </row>
    <row r="19" spans="1:15" ht="13.9">
      <c r="A19" s="29" t="s">
        <v>93</v>
      </c>
      <c r="B19" s="29" t="s">
        <v>94</v>
      </c>
      <c r="C19" s="29" t="s">
        <v>194</v>
      </c>
      <c r="D19" s="29" t="s">
        <v>71</v>
      </c>
      <c r="E19" s="29" t="s">
        <v>47</v>
      </c>
      <c r="F19" s="29">
        <v>2.15</v>
      </c>
      <c r="G19" s="29">
        <v>2.79</v>
      </c>
      <c r="H19" s="29">
        <v>2</v>
      </c>
      <c r="I19" s="29">
        <v>7</v>
      </c>
      <c r="J19" s="29">
        <v>102</v>
      </c>
      <c r="K19" s="29">
        <v>12.433</v>
      </c>
      <c r="L19" s="29">
        <v>0</v>
      </c>
      <c r="M19" s="29">
        <v>2074</v>
      </c>
      <c r="N19" s="29" t="s">
        <v>48</v>
      </c>
      <c r="O19" t="s">
        <v>218</v>
      </c>
    </row>
    <row r="20" spans="1:15" ht="13.9">
      <c r="A20" s="29" t="s">
        <v>95</v>
      </c>
      <c r="B20" s="29" t="s">
        <v>96</v>
      </c>
      <c r="C20" s="29" t="s">
        <v>196</v>
      </c>
      <c r="D20" s="29" t="s">
        <v>97</v>
      </c>
      <c r="E20" s="29" t="s">
        <v>47</v>
      </c>
      <c r="F20" s="29">
        <v>21.57</v>
      </c>
      <c r="G20" s="29">
        <v>33.96</v>
      </c>
      <c r="H20" s="29">
        <v>10</v>
      </c>
      <c r="I20" s="29">
        <v>37</v>
      </c>
      <c r="J20" s="29">
        <v>238</v>
      </c>
      <c r="K20" s="29">
        <v>12.431100000000001</v>
      </c>
      <c r="L20" s="29">
        <v>0</v>
      </c>
      <c r="M20" s="29">
        <v>3774</v>
      </c>
      <c r="N20" s="29" t="s">
        <v>48</v>
      </c>
      <c r="O20" t="s">
        <v>218</v>
      </c>
    </row>
    <row r="21" spans="1:15" ht="13.9">
      <c r="A21" s="29" t="s">
        <v>98</v>
      </c>
      <c r="B21" s="29" t="s">
        <v>99</v>
      </c>
      <c r="C21" s="29" t="s">
        <v>198</v>
      </c>
      <c r="D21" s="29" t="s">
        <v>59</v>
      </c>
      <c r="E21" s="29" t="s">
        <v>47</v>
      </c>
      <c r="F21" s="29">
        <v>34.72</v>
      </c>
      <c r="G21" s="29">
        <v>39.090000000000003</v>
      </c>
      <c r="H21" s="29">
        <v>8</v>
      </c>
      <c r="I21" s="29">
        <v>29</v>
      </c>
      <c r="J21" s="29">
        <v>585</v>
      </c>
      <c r="K21" s="29">
        <v>7.3776999999999999</v>
      </c>
      <c r="L21" s="29">
        <v>0</v>
      </c>
      <c r="M21" s="29">
        <v>7516</v>
      </c>
      <c r="N21" s="29" t="s">
        <v>48</v>
      </c>
      <c r="O21" t="s">
        <v>218</v>
      </c>
    </row>
    <row r="22" spans="1:15" ht="13.9">
      <c r="A22" s="29" t="s">
        <v>100</v>
      </c>
      <c r="B22" s="29" t="s">
        <v>101</v>
      </c>
      <c r="C22" s="29" t="s">
        <v>200</v>
      </c>
      <c r="D22" s="29" t="s">
        <v>102</v>
      </c>
      <c r="E22" s="29" t="s">
        <v>47</v>
      </c>
      <c r="F22" s="29">
        <v>29.03</v>
      </c>
      <c r="G22" s="29">
        <v>40.729999999999997</v>
      </c>
      <c r="H22" s="29">
        <v>7</v>
      </c>
      <c r="I22" s="29">
        <v>54</v>
      </c>
      <c r="J22" s="29">
        <v>598</v>
      </c>
      <c r="K22" s="29">
        <v>13.844799999999999</v>
      </c>
      <c r="L22" s="29">
        <v>0</v>
      </c>
      <c r="M22" s="29">
        <v>5566</v>
      </c>
      <c r="N22" s="29" t="s">
        <v>48</v>
      </c>
      <c r="O22" t="s">
        <v>218</v>
      </c>
    </row>
    <row r="23" spans="1:15" ht="13.9">
      <c r="A23" s="29" t="s">
        <v>103</v>
      </c>
      <c r="B23" s="29" t="s">
        <v>104</v>
      </c>
      <c r="C23" s="29" t="s">
        <v>202</v>
      </c>
      <c r="D23" s="29" t="s">
        <v>59</v>
      </c>
      <c r="E23" s="29" t="s">
        <v>47</v>
      </c>
      <c r="F23" s="29">
        <v>58.57</v>
      </c>
      <c r="G23" s="29">
        <v>66.150000000000006</v>
      </c>
      <c r="H23" s="29">
        <v>14</v>
      </c>
      <c r="I23" s="29">
        <v>60</v>
      </c>
      <c r="J23" s="29">
        <v>1062</v>
      </c>
      <c r="K23" s="29">
        <v>11.413399999999999</v>
      </c>
      <c r="L23" s="29">
        <v>0</v>
      </c>
      <c r="M23" s="29">
        <v>12058</v>
      </c>
      <c r="N23" s="29" t="s">
        <v>48</v>
      </c>
      <c r="O23" t="s">
        <v>218</v>
      </c>
    </row>
    <row r="24" spans="1:15" ht="13.9">
      <c r="A24" s="29" t="s">
        <v>105</v>
      </c>
      <c r="B24" s="29" t="s">
        <v>106</v>
      </c>
      <c r="C24" s="29" t="s">
        <v>204</v>
      </c>
      <c r="D24" s="29" t="s">
        <v>59</v>
      </c>
      <c r="E24" s="29" t="s">
        <v>47</v>
      </c>
      <c r="F24" s="29">
        <v>59.03</v>
      </c>
      <c r="G24" s="29">
        <v>64.599999999999994</v>
      </c>
      <c r="H24" s="29">
        <v>12</v>
      </c>
      <c r="I24" s="29">
        <v>51</v>
      </c>
      <c r="J24" s="29">
        <v>898</v>
      </c>
      <c r="K24" s="29">
        <v>12.131</v>
      </c>
      <c r="L24" s="29">
        <v>0</v>
      </c>
      <c r="M24" s="29">
        <v>10278</v>
      </c>
      <c r="N24" s="29" t="s">
        <v>48</v>
      </c>
      <c r="O24" t="s">
        <v>218</v>
      </c>
    </row>
    <row r="25" spans="1:15" ht="13.9">
      <c r="A25" s="29" t="s">
        <v>107</v>
      </c>
      <c r="B25" s="29" t="s">
        <v>108</v>
      </c>
      <c r="C25" s="29" t="s">
        <v>206</v>
      </c>
      <c r="D25" s="29" t="s">
        <v>92</v>
      </c>
      <c r="E25" s="29" t="s">
        <v>47</v>
      </c>
      <c r="F25" s="29">
        <v>12.33</v>
      </c>
      <c r="G25" s="29">
        <v>16.670000000000002</v>
      </c>
      <c r="H25" s="29">
        <v>9</v>
      </c>
      <c r="I25" s="29">
        <v>33</v>
      </c>
      <c r="J25" s="29">
        <v>238</v>
      </c>
      <c r="K25" s="29">
        <v>7.3704000000000001</v>
      </c>
      <c r="L25" s="29">
        <v>0</v>
      </c>
      <c r="M25" s="29">
        <v>4338</v>
      </c>
      <c r="N25" s="29" t="s">
        <v>48</v>
      </c>
      <c r="O25" t="s">
        <v>218</v>
      </c>
    </row>
    <row r="26" spans="1:15" ht="13.9">
      <c r="A26" s="29" t="s">
        <v>109</v>
      </c>
      <c r="B26" s="29" t="s">
        <v>110</v>
      </c>
      <c r="C26" s="29" t="s">
        <v>208</v>
      </c>
      <c r="D26" s="29" t="s">
        <v>97</v>
      </c>
      <c r="E26" s="29" t="s">
        <v>47</v>
      </c>
      <c r="F26" s="29">
        <v>12.05</v>
      </c>
      <c r="G26" s="29">
        <v>22.1</v>
      </c>
      <c r="H26" s="29">
        <v>9</v>
      </c>
      <c r="I26" s="29">
        <v>32</v>
      </c>
      <c r="J26" s="29">
        <v>242</v>
      </c>
      <c r="K26" s="29">
        <v>11.7277</v>
      </c>
      <c r="L26" s="29">
        <v>0</v>
      </c>
      <c r="M26" s="29">
        <v>3812</v>
      </c>
      <c r="N26" s="29" t="s">
        <v>48</v>
      </c>
      <c r="O26" t="s">
        <v>218</v>
      </c>
    </row>
    <row r="27" spans="1:15" ht="13.9">
      <c r="A27" s="29" t="s">
        <v>111</v>
      </c>
      <c r="B27" s="29" t="s">
        <v>112</v>
      </c>
      <c r="C27" s="29" t="s">
        <v>210</v>
      </c>
      <c r="D27" s="29" t="s">
        <v>59</v>
      </c>
      <c r="E27" s="29" t="s">
        <v>47</v>
      </c>
      <c r="F27" s="29">
        <v>25.61</v>
      </c>
      <c r="G27" s="29">
        <v>28.4</v>
      </c>
      <c r="H27" s="29">
        <v>8</v>
      </c>
      <c r="I27" s="29">
        <v>28</v>
      </c>
      <c r="J27" s="29">
        <v>589</v>
      </c>
      <c r="K27" s="29">
        <v>9.2329000000000008</v>
      </c>
      <c r="L27" s="29">
        <v>0</v>
      </c>
      <c r="M27" s="29">
        <v>7576</v>
      </c>
      <c r="N27" s="29" t="s">
        <v>48</v>
      </c>
      <c r="O27" t="s">
        <v>218</v>
      </c>
    </row>
    <row r="28" spans="1:15" ht="13.9">
      <c r="A28" s="29" t="s">
        <v>113</v>
      </c>
      <c r="B28" s="29" t="s">
        <v>114</v>
      </c>
      <c r="C28" s="29" t="s">
        <v>212</v>
      </c>
      <c r="D28" s="29" t="s">
        <v>115</v>
      </c>
      <c r="E28" s="29" t="s">
        <v>47</v>
      </c>
      <c r="F28" s="29">
        <v>13.34</v>
      </c>
      <c r="G28" s="29">
        <v>40.590000000000003</v>
      </c>
      <c r="H28" s="29">
        <v>9</v>
      </c>
      <c r="I28" s="29">
        <v>65</v>
      </c>
      <c r="J28" s="29">
        <v>604</v>
      </c>
      <c r="K28" s="29">
        <v>15.004200000000001</v>
      </c>
      <c r="L28" s="29">
        <v>0</v>
      </c>
      <c r="M28" s="29">
        <v>5658</v>
      </c>
      <c r="N28" s="29" t="s">
        <v>48</v>
      </c>
      <c r="O28" t="s">
        <v>218</v>
      </c>
    </row>
    <row r="29" spans="1:15" ht="13.9">
      <c r="A29" s="29" t="s">
        <v>116</v>
      </c>
      <c r="B29" s="29" t="s">
        <v>117</v>
      </c>
      <c r="C29" s="29" t="s">
        <v>214</v>
      </c>
      <c r="D29" s="29" t="s">
        <v>59</v>
      </c>
      <c r="E29" s="29" t="s">
        <v>47</v>
      </c>
      <c r="F29" s="29">
        <v>51.4</v>
      </c>
      <c r="G29" s="29">
        <v>54.43</v>
      </c>
      <c r="H29" s="29">
        <v>7</v>
      </c>
      <c r="I29" s="29">
        <v>44</v>
      </c>
      <c r="J29" s="29">
        <v>712</v>
      </c>
      <c r="K29" s="29">
        <v>9.5098000000000003</v>
      </c>
      <c r="L29" s="29">
        <v>0</v>
      </c>
      <c r="M29" s="29">
        <v>9414</v>
      </c>
      <c r="N29" s="29" t="s">
        <v>48</v>
      </c>
      <c r="O29" t="s">
        <v>218</v>
      </c>
    </row>
    <row r="30" spans="1:15" ht="13.9">
      <c r="A30" s="29" t="s">
        <v>118</v>
      </c>
      <c r="B30" s="29" t="s">
        <v>45</v>
      </c>
      <c r="C30" s="29" t="s">
        <v>159</v>
      </c>
      <c r="D30" s="29" t="s">
        <v>46</v>
      </c>
      <c r="E30" s="29" t="s">
        <v>119</v>
      </c>
      <c r="F30" s="29">
        <v>34.97</v>
      </c>
      <c r="G30" s="29">
        <v>40.409999999999997</v>
      </c>
      <c r="H30" s="29">
        <v>7</v>
      </c>
      <c r="I30" s="29">
        <v>100</v>
      </c>
      <c r="J30" s="29">
        <v>399</v>
      </c>
      <c r="K30" s="29">
        <v>21.461400000000001</v>
      </c>
      <c r="L30" s="29">
        <v>0</v>
      </c>
      <c r="M30" s="29">
        <v>6857</v>
      </c>
      <c r="N30" s="29" t="s">
        <v>48</v>
      </c>
      <c r="O30" t="s">
        <v>219</v>
      </c>
    </row>
    <row r="31" spans="1:15" ht="15">
      <c r="A31" s="29" t="s">
        <v>120</v>
      </c>
      <c r="B31" s="29" t="s">
        <v>50</v>
      </c>
      <c r="C31" s="29" t="s">
        <v>161</v>
      </c>
      <c r="D31" s="29" t="s">
        <v>121</v>
      </c>
      <c r="E31" s="29" t="s">
        <v>119</v>
      </c>
      <c r="F31" s="29">
        <v>162.38999999999999</v>
      </c>
      <c r="G31" s="29">
        <v>248.45</v>
      </c>
      <c r="H31" s="29">
        <v>9</v>
      </c>
      <c r="I31" s="29">
        <v>143</v>
      </c>
      <c r="J31" s="29">
        <v>814</v>
      </c>
      <c r="K31" s="29">
        <v>12.992699999999999</v>
      </c>
      <c r="L31" s="29">
        <v>0</v>
      </c>
      <c r="M31" s="29">
        <v>9163</v>
      </c>
      <c r="N31" s="30" t="s">
        <v>122</v>
      </c>
      <c r="O31" t="s">
        <v>219</v>
      </c>
    </row>
    <row r="32" spans="1:15" ht="13.9">
      <c r="A32" s="29" t="s">
        <v>123</v>
      </c>
      <c r="B32" s="29" t="s">
        <v>53</v>
      </c>
      <c r="C32" s="29" t="s">
        <v>163</v>
      </c>
      <c r="D32" s="29" t="s">
        <v>54</v>
      </c>
      <c r="E32" s="29" t="s">
        <v>124</v>
      </c>
      <c r="F32" s="29">
        <v>37.53</v>
      </c>
      <c r="G32" s="29">
        <v>62.35</v>
      </c>
      <c r="H32" s="29">
        <v>6</v>
      </c>
      <c r="I32" s="29">
        <v>104</v>
      </c>
      <c r="J32" s="29">
        <v>592</v>
      </c>
      <c r="K32" s="29">
        <v>15.901300000000001</v>
      </c>
      <c r="L32" s="29">
        <v>0</v>
      </c>
      <c r="M32" s="29">
        <v>8134</v>
      </c>
      <c r="N32" s="29" t="s">
        <v>48</v>
      </c>
      <c r="O32" t="s">
        <v>219</v>
      </c>
    </row>
    <row r="33" spans="1:15" ht="13.9">
      <c r="A33" s="29" t="s">
        <v>125</v>
      </c>
      <c r="B33" s="29" t="s">
        <v>58</v>
      </c>
      <c r="C33" s="29" t="s">
        <v>165</v>
      </c>
      <c r="D33" s="29" t="s">
        <v>59</v>
      </c>
      <c r="E33" s="29" t="s">
        <v>119</v>
      </c>
      <c r="F33" s="29">
        <v>7.72</v>
      </c>
      <c r="G33" s="29">
        <v>8.3000000000000007</v>
      </c>
      <c r="H33" s="29">
        <v>4</v>
      </c>
      <c r="I33" s="29">
        <v>20</v>
      </c>
      <c r="J33" s="29">
        <v>115</v>
      </c>
      <c r="K33" s="29">
        <v>29.066600000000001</v>
      </c>
      <c r="L33" s="29">
        <v>0</v>
      </c>
      <c r="M33" s="29">
        <v>2006</v>
      </c>
      <c r="N33" s="29" t="s">
        <v>48</v>
      </c>
      <c r="O33" t="s">
        <v>219</v>
      </c>
    </row>
    <row r="34" spans="1:15" ht="13.9">
      <c r="A34" s="29" t="s">
        <v>126</v>
      </c>
      <c r="B34" s="29" t="s">
        <v>61</v>
      </c>
      <c r="C34" s="29" t="s">
        <v>167</v>
      </c>
      <c r="D34" s="29" t="s">
        <v>127</v>
      </c>
      <c r="E34" s="29" t="s">
        <v>119</v>
      </c>
      <c r="F34" s="29">
        <v>0.71</v>
      </c>
      <c r="G34" s="29">
        <v>0.86</v>
      </c>
      <c r="H34" s="29">
        <v>2</v>
      </c>
      <c r="I34" s="29">
        <v>10</v>
      </c>
      <c r="J34" s="29">
        <v>114</v>
      </c>
      <c r="K34" s="29">
        <v>22.541599999999999</v>
      </c>
      <c r="L34" s="29">
        <v>0</v>
      </c>
      <c r="M34" s="29">
        <v>2149</v>
      </c>
      <c r="N34" s="29" t="s">
        <v>48</v>
      </c>
      <c r="O34" t="s">
        <v>219</v>
      </c>
    </row>
    <row r="35" spans="1:15" ht="13.9">
      <c r="A35" s="29" t="s">
        <v>128</v>
      </c>
      <c r="B35" s="29" t="s">
        <v>64</v>
      </c>
      <c r="C35" s="29" t="s">
        <v>169</v>
      </c>
      <c r="D35" s="29" t="s">
        <v>59</v>
      </c>
      <c r="E35" s="29" t="s">
        <v>119</v>
      </c>
      <c r="F35" s="29">
        <v>28.24</v>
      </c>
      <c r="G35" s="29">
        <v>29.82</v>
      </c>
      <c r="H35" s="29">
        <v>7</v>
      </c>
      <c r="I35" s="29">
        <v>39</v>
      </c>
      <c r="J35" s="29">
        <v>140</v>
      </c>
      <c r="K35" s="29">
        <v>44.677199999999999</v>
      </c>
      <c r="L35" s="29">
        <v>0</v>
      </c>
      <c r="M35" s="29">
        <v>2046</v>
      </c>
      <c r="N35" s="29" t="s">
        <v>48</v>
      </c>
      <c r="O35" t="s">
        <v>219</v>
      </c>
    </row>
    <row r="36" spans="1:15" ht="13.9">
      <c r="A36" s="29" t="s">
        <v>129</v>
      </c>
      <c r="B36" s="29" t="s">
        <v>66</v>
      </c>
      <c r="C36" s="29" t="s">
        <v>171</v>
      </c>
      <c r="D36" s="29" t="s">
        <v>54</v>
      </c>
      <c r="E36" s="29" t="s">
        <v>119</v>
      </c>
      <c r="F36" s="29">
        <v>63.31</v>
      </c>
      <c r="G36" s="29">
        <v>66.38</v>
      </c>
      <c r="H36" s="29">
        <v>7</v>
      </c>
      <c r="I36" s="29">
        <v>78</v>
      </c>
      <c r="J36" s="29">
        <v>275</v>
      </c>
      <c r="K36" s="29">
        <v>15.9444</v>
      </c>
      <c r="L36" s="29">
        <v>0</v>
      </c>
      <c r="M36" s="29">
        <v>4360</v>
      </c>
      <c r="N36" s="29" t="s">
        <v>48</v>
      </c>
      <c r="O36" t="s">
        <v>219</v>
      </c>
    </row>
    <row r="37" spans="1:15" ht="13.9">
      <c r="A37" s="29" t="s">
        <v>130</v>
      </c>
      <c r="B37" s="29" t="s">
        <v>68</v>
      </c>
      <c r="C37" s="29" t="s">
        <v>173</v>
      </c>
      <c r="D37" s="29" t="s">
        <v>59</v>
      </c>
      <c r="E37" s="29" t="s">
        <v>119</v>
      </c>
      <c r="F37" s="29">
        <v>17.25</v>
      </c>
      <c r="G37" s="29">
        <v>18.47</v>
      </c>
      <c r="H37" s="29">
        <v>7</v>
      </c>
      <c r="I37" s="29">
        <v>32</v>
      </c>
      <c r="J37" s="29">
        <v>134</v>
      </c>
      <c r="K37" s="29">
        <v>37.899900000000002</v>
      </c>
      <c r="L37" s="29">
        <v>0</v>
      </c>
      <c r="M37" s="29">
        <v>2032</v>
      </c>
      <c r="N37" s="29" t="s">
        <v>48</v>
      </c>
      <c r="O37" t="s">
        <v>219</v>
      </c>
    </row>
    <row r="38" spans="1:15" ht="13.9">
      <c r="A38" s="29" t="s">
        <v>131</v>
      </c>
      <c r="B38" s="29" t="s">
        <v>70</v>
      </c>
      <c r="C38" s="29" t="s">
        <v>175</v>
      </c>
      <c r="D38" s="29" t="s">
        <v>132</v>
      </c>
      <c r="E38" s="29" t="s">
        <v>119</v>
      </c>
      <c r="F38" s="29">
        <v>5.41</v>
      </c>
      <c r="G38" s="29">
        <v>5.94</v>
      </c>
      <c r="H38" s="29">
        <v>3</v>
      </c>
      <c r="I38" s="29">
        <v>26</v>
      </c>
      <c r="J38" s="29">
        <v>130</v>
      </c>
      <c r="K38" s="29">
        <v>35.323500000000003</v>
      </c>
      <c r="L38" s="29">
        <v>0</v>
      </c>
      <c r="M38" s="29">
        <v>2108</v>
      </c>
      <c r="N38" s="29" t="s">
        <v>48</v>
      </c>
      <c r="O38" t="s">
        <v>219</v>
      </c>
    </row>
    <row r="39" spans="1:15" ht="13.9">
      <c r="A39" s="29" t="s">
        <v>133</v>
      </c>
      <c r="B39" s="29" t="s">
        <v>73</v>
      </c>
      <c r="C39" s="29" t="s">
        <v>177</v>
      </c>
      <c r="D39" s="29" t="s">
        <v>74</v>
      </c>
      <c r="E39" s="29" t="s">
        <v>119</v>
      </c>
      <c r="F39" s="29">
        <v>77.88</v>
      </c>
      <c r="G39" s="29">
        <v>82.85</v>
      </c>
      <c r="H39" s="29">
        <v>6</v>
      </c>
      <c r="I39" s="29">
        <v>78</v>
      </c>
      <c r="J39" s="29">
        <v>285</v>
      </c>
      <c r="K39" s="29">
        <v>28.661799999999999</v>
      </c>
      <c r="L39" s="29">
        <v>0</v>
      </c>
      <c r="M39" s="29">
        <v>3813</v>
      </c>
      <c r="N39" s="29" t="s">
        <v>48</v>
      </c>
      <c r="O39" t="s">
        <v>219</v>
      </c>
    </row>
    <row r="40" spans="1:15" ht="13.9">
      <c r="A40" s="29" t="s">
        <v>134</v>
      </c>
      <c r="B40" s="29" t="s">
        <v>76</v>
      </c>
      <c r="C40" s="29" t="s">
        <v>179</v>
      </c>
      <c r="D40" s="29" t="s">
        <v>135</v>
      </c>
      <c r="E40" s="29" t="s">
        <v>119</v>
      </c>
      <c r="F40" s="29">
        <v>68.63</v>
      </c>
      <c r="G40" s="29">
        <v>89.19</v>
      </c>
      <c r="H40" s="29">
        <v>5</v>
      </c>
      <c r="I40" s="29">
        <v>79</v>
      </c>
      <c r="J40" s="29">
        <v>628</v>
      </c>
      <c r="K40" s="29">
        <v>23.237100000000002</v>
      </c>
      <c r="L40" s="29">
        <v>0</v>
      </c>
      <c r="M40" s="29">
        <v>7570</v>
      </c>
      <c r="N40" s="29" t="s">
        <v>48</v>
      </c>
      <c r="O40" t="s">
        <v>219</v>
      </c>
    </row>
    <row r="41" spans="1:15" ht="13.9">
      <c r="A41" s="29" t="s">
        <v>136</v>
      </c>
      <c r="B41" s="29" t="s">
        <v>78</v>
      </c>
      <c r="C41" s="29" t="s">
        <v>181</v>
      </c>
      <c r="D41" s="29" t="s">
        <v>135</v>
      </c>
      <c r="E41" s="29" t="s">
        <v>119</v>
      </c>
      <c r="F41" s="29">
        <v>54.98</v>
      </c>
      <c r="G41" s="29">
        <v>85.68</v>
      </c>
      <c r="H41" s="29">
        <v>6</v>
      </c>
      <c r="I41" s="29">
        <v>69</v>
      </c>
      <c r="J41" s="29">
        <v>467</v>
      </c>
      <c r="K41" s="29">
        <v>18.163499999999999</v>
      </c>
      <c r="L41" s="29">
        <v>0</v>
      </c>
      <c r="M41" s="29">
        <v>5617</v>
      </c>
      <c r="N41" s="29" t="s">
        <v>48</v>
      </c>
      <c r="O41" t="s">
        <v>219</v>
      </c>
    </row>
    <row r="42" spans="1:15" ht="13.9">
      <c r="A42" s="29" t="s">
        <v>137</v>
      </c>
      <c r="B42" s="29" t="s">
        <v>81</v>
      </c>
      <c r="C42" s="29" t="s">
        <v>183</v>
      </c>
      <c r="D42" s="29" t="s">
        <v>135</v>
      </c>
      <c r="E42" s="29" t="s">
        <v>119</v>
      </c>
      <c r="F42" s="29">
        <v>259.29000000000002</v>
      </c>
      <c r="G42" s="29">
        <v>266.02</v>
      </c>
      <c r="H42" s="29">
        <v>7</v>
      </c>
      <c r="I42" s="29">
        <v>101</v>
      </c>
      <c r="J42" s="29">
        <v>421</v>
      </c>
      <c r="K42" s="29">
        <v>34.711599999999997</v>
      </c>
      <c r="L42" s="29">
        <v>0</v>
      </c>
      <c r="M42" s="29">
        <v>5619</v>
      </c>
      <c r="N42" s="29" t="s">
        <v>56</v>
      </c>
      <c r="O42" t="s">
        <v>219</v>
      </c>
    </row>
    <row r="43" spans="1:15" ht="13.9">
      <c r="A43" s="29" t="s">
        <v>138</v>
      </c>
      <c r="B43" s="29" t="s">
        <v>83</v>
      </c>
      <c r="C43" s="29" t="s">
        <v>185</v>
      </c>
      <c r="D43" s="29" t="s">
        <v>139</v>
      </c>
      <c r="E43" s="29" t="s">
        <v>119</v>
      </c>
      <c r="F43" s="29">
        <v>182.62</v>
      </c>
      <c r="G43" s="29">
        <v>237.91</v>
      </c>
      <c r="H43" s="29">
        <v>9</v>
      </c>
      <c r="I43" s="29">
        <v>114</v>
      </c>
      <c r="J43" s="29">
        <v>447</v>
      </c>
      <c r="K43" s="29">
        <v>16.938199999999998</v>
      </c>
      <c r="L43" s="29">
        <v>0</v>
      </c>
      <c r="M43" s="29">
        <v>6217</v>
      </c>
      <c r="N43" s="29" t="s">
        <v>56</v>
      </c>
      <c r="O43" t="s">
        <v>219</v>
      </c>
    </row>
    <row r="44" spans="1:15" ht="15">
      <c r="A44" s="29" t="s">
        <v>140</v>
      </c>
      <c r="B44" s="29" t="s">
        <v>86</v>
      </c>
      <c r="C44" s="29" t="s">
        <v>187</v>
      </c>
      <c r="D44" s="29" t="s">
        <v>141</v>
      </c>
      <c r="E44" s="29" t="s">
        <v>119</v>
      </c>
      <c r="F44" s="29">
        <v>162.6</v>
      </c>
      <c r="G44" s="29">
        <v>183.45</v>
      </c>
      <c r="H44" s="29">
        <v>6</v>
      </c>
      <c r="I44" s="29">
        <v>107</v>
      </c>
      <c r="J44" s="29">
        <v>778</v>
      </c>
      <c r="K44">
        <v>19.640699999999999</v>
      </c>
      <c r="L44" s="29">
        <v>0</v>
      </c>
      <c r="M44" s="29">
        <v>8550</v>
      </c>
      <c r="N44" s="30" t="s">
        <v>142</v>
      </c>
      <c r="O44" t="s">
        <v>219</v>
      </c>
    </row>
    <row r="45" spans="1:15" ht="13.9">
      <c r="A45" s="29" t="s">
        <v>143</v>
      </c>
      <c r="B45" s="29" t="s">
        <v>88</v>
      </c>
      <c r="C45" s="29" t="s">
        <v>189</v>
      </c>
      <c r="D45" s="29" t="s">
        <v>89</v>
      </c>
      <c r="E45" s="29" t="s">
        <v>119</v>
      </c>
      <c r="F45" s="29">
        <v>197.58</v>
      </c>
      <c r="G45" s="29">
        <v>253.75</v>
      </c>
      <c r="H45" s="29">
        <v>9</v>
      </c>
      <c r="I45" s="29">
        <v>129</v>
      </c>
      <c r="J45" s="29">
        <v>636</v>
      </c>
      <c r="K45" s="29">
        <v>21.4194</v>
      </c>
      <c r="L45" s="29">
        <v>0</v>
      </c>
      <c r="M45" s="29">
        <v>7516</v>
      </c>
      <c r="N45" s="29" t="s">
        <v>56</v>
      </c>
      <c r="O45" t="s">
        <v>219</v>
      </c>
    </row>
    <row r="46" spans="1:15" ht="13.9">
      <c r="A46" s="29" t="s">
        <v>144</v>
      </c>
      <c r="B46" s="29" t="s">
        <v>91</v>
      </c>
      <c r="C46" s="29" t="s">
        <v>191</v>
      </c>
      <c r="D46" s="29" t="s">
        <v>92</v>
      </c>
      <c r="E46" s="29" t="s">
        <v>119</v>
      </c>
      <c r="F46" s="29">
        <v>13.46</v>
      </c>
      <c r="G46" s="29">
        <v>21.67</v>
      </c>
      <c r="H46" s="29">
        <v>8</v>
      </c>
      <c r="I46" s="29">
        <v>66</v>
      </c>
      <c r="J46" s="29">
        <v>285</v>
      </c>
      <c r="K46" s="29">
        <v>13.7431</v>
      </c>
      <c r="L46" s="29">
        <v>0</v>
      </c>
      <c r="M46" s="29">
        <v>4339</v>
      </c>
      <c r="N46" s="29" t="s">
        <v>48</v>
      </c>
      <c r="O46" t="s">
        <v>219</v>
      </c>
    </row>
    <row r="47" spans="1:15" ht="13.9">
      <c r="A47" s="29" t="s">
        <v>145</v>
      </c>
      <c r="B47" s="29" t="s">
        <v>94</v>
      </c>
      <c r="C47" s="29" t="s">
        <v>193</v>
      </c>
      <c r="D47" s="29" t="s">
        <v>132</v>
      </c>
      <c r="E47" s="29" t="s">
        <v>119</v>
      </c>
      <c r="F47" s="29">
        <v>1.54</v>
      </c>
      <c r="G47" s="29">
        <v>1.73</v>
      </c>
      <c r="H47" s="29">
        <v>3</v>
      </c>
      <c r="I47" s="29">
        <v>17</v>
      </c>
      <c r="J47" s="29">
        <v>113</v>
      </c>
      <c r="K47" s="29">
        <v>26.664899999999999</v>
      </c>
      <c r="L47" s="29">
        <v>0</v>
      </c>
      <c r="M47" s="29">
        <v>2080</v>
      </c>
      <c r="N47" s="29" t="s">
        <v>48</v>
      </c>
      <c r="O47" t="s">
        <v>219</v>
      </c>
    </row>
    <row r="48" spans="1:15" ht="13.9">
      <c r="A48" s="29" t="s">
        <v>146</v>
      </c>
      <c r="B48" s="29" t="s">
        <v>96</v>
      </c>
      <c r="C48" s="29" t="s">
        <v>195</v>
      </c>
      <c r="D48" s="29" t="s">
        <v>147</v>
      </c>
      <c r="E48" s="29" t="s">
        <v>119</v>
      </c>
      <c r="F48" s="29">
        <v>18.29</v>
      </c>
      <c r="G48" s="29">
        <v>23.25</v>
      </c>
      <c r="H48" s="29">
        <v>7</v>
      </c>
      <c r="I48" s="29">
        <v>58</v>
      </c>
      <c r="J48" s="29">
        <v>267</v>
      </c>
      <c r="K48" s="29">
        <v>24.4772</v>
      </c>
      <c r="L48" s="29">
        <v>0</v>
      </c>
      <c r="M48" s="29">
        <v>3815</v>
      </c>
      <c r="N48" s="29" t="s">
        <v>48</v>
      </c>
      <c r="O48" t="s">
        <v>219</v>
      </c>
    </row>
    <row r="49" spans="1:15" ht="13.9">
      <c r="A49" s="29" t="s">
        <v>148</v>
      </c>
      <c r="B49" s="29" t="s">
        <v>99</v>
      </c>
      <c r="C49" s="29" t="s">
        <v>197</v>
      </c>
      <c r="D49" s="29" t="s">
        <v>59</v>
      </c>
      <c r="E49" s="29" t="s">
        <v>119</v>
      </c>
      <c r="F49" s="29">
        <v>46.41</v>
      </c>
      <c r="G49" s="29">
        <v>49</v>
      </c>
      <c r="H49" s="29">
        <v>4</v>
      </c>
      <c r="I49" s="29">
        <v>58</v>
      </c>
      <c r="J49" s="29">
        <v>608</v>
      </c>
      <c r="K49" s="29">
        <v>18.587</v>
      </c>
      <c r="L49" s="29">
        <v>0</v>
      </c>
      <c r="M49" s="29">
        <v>7594</v>
      </c>
      <c r="N49" s="29" t="s">
        <v>48</v>
      </c>
      <c r="O49" t="s">
        <v>219</v>
      </c>
    </row>
    <row r="50" spans="1:15" ht="13.9">
      <c r="A50" s="29" t="s">
        <v>149</v>
      </c>
      <c r="B50" s="29" t="s">
        <v>101</v>
      </c>
      <c r="C50" s="29" t="s">
        <v>199</v>
      </c>
      <c r="D50" s="29" t="s">
        <v>59</v>
      </c>
      <c r="E50" s="29" t="s">
        <v>119</v>
      </c>
      <c r="F50" s="29">
        <v>61.11</v>
      </c>
      <c r="G50" s="29">
        <v>64.5</v>
      </c>
      <c r="H50" s="29">
        <v>5</v>
      </c>
      <c r="I50" s="29">
        <v>73</v>
      </c>
      <c r="J50" s="29">
        <v>466</v>
      </c>
      <c r="K50" s="29">
        <v>18.100200000000001</v>
      </c>
      <c r="L50" s="29">
        <v>0</v>
      </c>
      <c r="M50" s="29">
        <v>5619</v>
      </c>
      <c r="N50" s="29" t="s">
        <v>48</v>
      </c>
      <c r="O50" t="s">
        <v>219</v>
      </c>
    </row>
    <row r="51" spans="1:15" ht="13.9">
      <c r="A51" s="29" t="s">
        <v>150</v>
      </c>
      <c r="B51" s="29" t="s">
        <v>104</v>
      </c>
      <c r="C51" s="29" t="s">
        <v>201</v>
      </c>
      <c r="D51" s="29" t="s">
        <v>135</v>
      </c>
      <c r="E51" s="29" t="s">
        <v>119</v>
      </c>
      <c r="F51" s="29">
        <v>100.62</v>
      </c>
      <c r="G51" s="29">
        <v>105</v>
      </c>
      <c r="H51" s="29">
        <v>8</v>
      </c>
      <c r="I51" s="29">
        <v>105</v>
      </c>
      <c r="J51" s="29">
        <v>1114</v>
      </c>
      <c r="K51" s="29">
        <v>10.2562</v>
      </c>
      <c r="L51" s="29">
        <v>0</v>
      </c>
      <c r="M51" s="29">
        <v>12142</v>
      </c>
      <c r="N51" s="29" t="s">
        <v>56</v>
      </c>
      <c r="O51" t="s">
        <v>219</v>
      </c>
    </row>
    <row r="52" spans="1:15" ht="13.9">
      <c r="A52" s="29" t="s">
        <v>151</v>
      </c>
      <c r="B52" s="29" t="s">
        <v>106</v>
      </c>
      <c r="C52" s="29" t="s">
        <v>203</v>
      </c>
      <c r="D52" s="29" t="s">
        <v>135</v>
      </c>
      <c r="E52" s="29" t="s">
        <v>119</v>
      </c>
      <c r="F52" s="29">
        <v>100.2</v>
      </c>
      <c r="G52" s="29">
        <v>104.47</v>
      </c>
      <c r="H52" s="29">
        <v>7</v>
      </c>
      <c r="I52" s="29">
        <v>99</v>
      </c>
      <c r="J52" s="29">
        <v>947</v>
      </c>
      <c r="K52" s="29">
        <v>12.8817</v>
      </c>
      <c r="L52" s="29">
        <v>0</v>
      </c>
      <c r="M52" s="29">
        <v>10391</v>
      </c>
      <c r="N52" s="29" t="s">
        <v>56</v>
      </c>
      <c r="O52" t="s">
        <v>219</v>
      </c>
    </row>
    <row r="53" spans="1:15" ht="13.9">
      <c r="A53" s="29" t="s">
        <v>152</v>
      </c>
      <c r="B53" s="29" t="s">
        <v>108</v>
      </c>
      <c r="C53" s="29" t="s">
        <v>205</v>
      </c>
      <c r="D53" s="29" t="s">
        <v>92</v>
      </c>
      <c r="E53" s="29" t="s">
        <v>119</v>
      </c>
      <c r="F53" s="29">
        <v>7.17</v>
      </c>
      <c r="G53" s="29">
        <v>12.46</v>
      </c>
      <c r="H53" s="29">
        <v>6</v>
      </c>
      <c r="I53" s="29">
        <v>58</v>
      </c>
      <c r="J53" s="29">
        <v>258</v>
      </c>
      <c r="K53" s="29">
        <v>19.6036</v>
      </c>
      <c r="L53" s="29">
        <v>0</v>
      </c>
      <c r="M53" s="29">
        <v>4397</v>
      </c>
      <c r="N53" s="29" t="s">
        <v>48</v>
      </c>
      <c r="O53" t="s">
        <v>219</v>
      </c>
    </row>
    <row r="54" spans="1:15" ht="13.9">
      <c r="A54" s="29" t="s">
        <v>153</v>
      </c>
      <c r="B54" s="29" t="s">
        <v>110</v>
      </c>
      <c r="C54" s="29" t="s">
        <v>207</v>
      </c>
      <c r="D54" s="29" t="s">
        <v>154</v>
      </c>
      <c r="E54" s="29" t="s">
        <v>119</v>
      </c>
      <c r="F54" s="29">
        <v>8.75</v>
      </c>
      <c r="G54" s="29">
        <v>16.21</v>
      </c>
      <c r="H54" s="29">
        <v>6</v>
      </c>
      <c r="I54" s="29">
        <v>63</v>
      </c>
      <c r="J54" s="29">
        <v>276</v>
      </c>
      <c r="K54" s="29">
        <v>22.066500000000001</v>
      </c>
      <c r="L54" s="29">
        <v>0</v>
      </c>
      <c r="M54" s="29">
        <v>3851</v>
      </c>
      <c r="N54" s="29" t="s">
        <v>48</v>
      </c>
      <c r="O54" t="s">
        <v>219</v>
      </c>
    </row>
    <row r="55" spans="1:15" ht="13.9">
      <c r="A55" s="29" t="s">
        <v>155</v>
      </c>
      <c r="B55" s="29" t="s">
        <v>112</v>
      </c>
      <c r="C55" s="29" t="s">
        <v>209</v>
      </c>
      <c r="D55" s="29" t="s">
        <v>59</v>
      </c>
      <c r="E55" s="29" t="s">
        <v>119</v>
      </c>
      <c r="F55" s="29">
        <v>44.21</v>
      </c>
      <c r="G55" s="29">
        <v>46.59</v>
      </c>
      <c r="H55" s="29">
        <v>4</v>
      </c>
      <c r="I55" s="29">
        <v>60</v>
      </c>
      <c r="J55" s="29">
        <v>612</v>
      </c>
      <c r="K55" s="29">
        <v>17.431799999999999</v>
      </c>
      <c r="L55" s="29">
        <v>0</v>
      </c>
      <c r="M55" s="29">
        <v>7640</v>
      </c>
      <c r="N55" s="29" t="s">
        <v>48</v>
      </c>
      <c r="O55" t="s">
        <v>219</v>
      </c>
    </row>
    <row r="56" spans="1:15" ht="13.9">
      <c r="A56" s="29" t="s">
        <v>156</v>
      </c>
      <c r="B56" s="29" t="s">
        <v>114</v>
      </c>
      <c r="C56" s="29" t="s">
        <v>211</v>
      </c>
      <c r="D56" s="29" t="s">
        <v>59</v>
      </c>
      <c r="E56" s="29" t="s">
        <v>119</v>
      </c>
      <c r="F56" s="29">
        <v>71.47</v>
      </c>
      <c r="G56" s="29">
        <v>75.180000000000007</v>
      </c>
      <c r="H56" s="29">
        <v>5</v>
      </c>
      <c r="I56" s="29">
        <v>86</v>
      </c>
      <c r="J56" s="29">
        <v>485</v>
      </c>
      <c r="K56" s="29">
        <v>15.9329</v>
      </c>
      <c r="L56" s="29">
        <v>0</v>
      </c>
      <c r="M56" s="29">
        <v>5746</v>
      </c>
      <c r="N56" s="29" t="s">
        <v>48</v>
      </c>
      <c r="O56" t="s">
        <v>219</v>
      </c>
    </row>
    <row r="57" spans="1:15" ht="13.9">
      <c r="A57" s="29" t="s">
        <v>157</v>
      </c>
      <c r="B57" s="29" t="s">
        <v>117</v>
      </c>
      <c r="C57" s="29" t="s">
        <v>213</v>
      </c>
      <c r="D57" s="29" t="s">
        <v>135</v>
      </c>
      <c r="E57" s="29" t="s">
        <v>119</v>
      </c>
      <c r="F57" s="29">
        <v>89.7</v>
      </c>
      <c r="G57" s="29">
        <v>106.39</v>
      </c>
      <c r="H57" s="29">
        <v>6</v>
      </c>
      <c r="I57" s="29">
        <v>81</v>
      </c>
      <c r="J57" s="29">
        <v>756</v>
      </c>
      <c r="K57" s="29">
        <v>12.136699999999999</v>
      </c>
      <c r="L57" s="29">
        <v>0</v>
      </c>
      <c r="M57" s="29">
        <v>9511</v>
      </c>
      <c r="N57" s="29" t="s">
        <v>48</v>
      </c>
      <c r="O57" t="s">
        <v>219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workbookViewId="0">
      <pane ySplit="1" topLeftCell="A20" activePane="bottomLeft" state="frozen"/>
      <selection pane="bottomLeft"/>
    </sheetView>
  </sheetViews>
  <sheetFormatPr defaultRowHeight="13.9"/>
  <cols>
    <col min="1" max="1" width="19" customWidth="1"/>
    <col min="2" max="2" width="20" customWidth="1"/>
    <col min="3" max="4" width="27" customWidth="1"/>
    <col min="5" max="5" width="42" customWidth="1"/>
    <col min="6" max="6" width="19" customWidth="1"/>
    <col min="7" max="7" width="15" customWidth="1"/>
    <col min="8" max="8" width="76" customWidth="1"/>
  </cols>
  <sheetData>
    <row r="1" spans="1:8" ht="26" customHeight="1">
      <c r="A1" s="39" t="s">
        <v>220</v>
      </c>
      <c r="B1" s="39" t="s">
        <v>221</v>
      </c>
      <c r="C1" s="39" t="s">
        <v>222</v>
      </c>
      <c r="D1" s="39" t="s">
        <v>223</v>
      </c>
      <c r="E1" s="39" t="s">
        <v>224</v>
      </c>
      <c r="F1" s="39" t="s">
        <v>225</v>
      </c>
      <c r="G1" s="38" t="s">
        <v>226</v>
      </c>
      <c r="H1" s="38" t="s">
        <v>227</v>
      </c>
    </row>
    <row r="2" spans="1:8">
      <c r="A2" t="s">
        <v>45</v>
      </c>
      <c r="B2" t="s">
        <v>45</v>
      </c>
      <c r="C2" t="s">
        <v>160</v>
      </c>
      <c r="D2" t="s">
        <v>159</v>
      </c>
      <c r="E2" t="s">
        <v>228</v>
      </c>
      <c r="F2" t="s">
        <v>229</v>
      </c>
      <c r="G2" t="s">
        <v>230</v>
      </c>
      <c r="H2" t="s">
        <v>231</v>
      </c>
    </row>
    <row r="3" spans="1:8">
      <c r="A3" t="s">
        <v>50</v>
      </c>
      <c r="B3" t="s">
        <v>50</v>
      </c>
      <c r="C3" t="s">
        <v>162</v>
      </c>
      <c r="D3" t="s">
        <v>161</v>
      </c>
      <c r="E3" t="s">
        <v>228</v>
      </c>
      <c r="F3" t="s">
        <v>232</v>
      </c>
      <c r="G3" t="s">
        <v>233</v>
      </c>
      <c r="H3" t="s">
        <v>234</v>
      </c>
    </row>
    <row r="4" spans="1:8">
      <c r="A4" t="s">
        <v>53</v>
      </c>
      <c r="B4" t="s">
        <v>53</v>
      </c>
      <c r="C4" t="s">
        <v>164</v>
      </c>
      <c r="D4" t="s">
        <v>163</v>
      </c>
      <c r="E4" t="s">
        <v>228</v>
      </c>
      <c r="F4" t="s">
        <v>235</v>
      </c>
      <c r="G4" t="s">
        <v>236</v>
      </c>
      <c r="H4" t="s">
        <v>237</v>
      </c>
    </row>
    <row r="5" spans="1:8">
      <c r="A5" t="s">
        <v>58</v>
      </c>
      <c r="B5" t="s">
        <v>58</v>
      </c>
      <c r="C5" t="s">
        <v>166</v>
      </c>
      <c r="D5" t="s">
        <v>165</v>
      </c>
      <c r="E5" t="s">
        <v>228</v>
      </c>
      <c r="F5" t="s">
        <v>238</v>
      </c>
      <c r="G5" t="s">
        <v>239</v>
      </c>
      <c r="H5" t="s">
        <v>240</v>
      </c>
    </row>
    <row r="6" spans="1:8">
      <c r="A6" t="s">
        <v>61</v>
      </c>
      <c r="B6" t="s">
        <v>61</v>
      </c>
      <c r="C6" t="s">
        <v>168</v>
      </c>
      <c r="D6" t="s">
        <v>167</v>
      </c>
      <c r="E6" t="s">
        <v>228</v>
      </c>
      <c r="F6" t="s">
        <v>241</v>
      </c>
    </row>
    <row r="7" spans="1:8">
      <c r="A7" t="s">
        <v>64</v>
      </c>
      <c r="B7" t="s">
        <v>64</v>
      </c>
      <c r="C7" t="s">
        <v>170</v>
      </c>
      <c r="D7" t="s">
        <v>169</v>
      </c>
      <c r="E7" t="s">
        <v>228</v>
      </c>
      <c r="F7" t="s">
        <v>242</v>
      </c>
    </row>
    <row r="8" spans="1:8">
      <c r="A8" t="s">
        <v>66</v>
      </c>
      <c r="B8" t="s">
        <v>66</v>
      </c>
      <c r="C8" t="s">
        <v>172</v>
      </c>
      <c r="D8" t="s">
        <v>171</v>
      </c>
      <c r="E8" t="s">
        <v>228</v>
      </c>
      <c r="F8" t="s">
        <v>243</v>
      </c>
    </row>
    <row r="9" spans="1:8">
      <c r="A9" t="s">
        <v>68</v>
      </c>
      <c r="B9" t="s">
        <v>68</v>
      </c>
      <c r="C9" t="s">
        <v>174</v>
      </c>
      <c r="D9" t="s">
        <v>173</v>
      </c>
      <c r="E9" t="s">
        <v>228</v>
      </c>
      <c r="F9" t="s">
        <v>244</v>
      </c>
    </row>
    <row r="10" spans="1:8">
      <c r="A10" t="s">
        <v>70</v>
      </c>
      <c r="B10" t="s">
        <v>70</v>
      </c>
      <c r="C10" t="s">
        <v>176</v>
      </c>
      <c r="D10" t="s">
        <v>175</v>
      </c>
      <c r="E10" t="s">
        <v>228</v>
      </c>
      <c r="F10" t="s">
        <v>245</v>
      </c>
    </row>
    <row r="11" spans="1:8">
      <c r="A11" t="s">
        <v>73</v>
      </c>
      <c r="B11" t="s">
        <v>73</v>
      </c>
      <c r="C11" t="s">
        <v>178</v>
      </c>
      <c r="D11" t="s">
        <v>177</v>
      </c>
      <c r="E11" t="s">
        <v>228</v>
      </c>
      <c r="F11" t="s">
        <v>246</v>
      </c>
    </row>
    <row r="12" spans="1:8">
      <c r="A12" t="s">
        <v>76</v>
      </c>
      <c r="B12" t="s">
        <v>76</v>
      </c>
      <c r="C12" t="s">
        <v>180</v>
      </c>
      <c r="D12" t="s">
        <v>179</v>
      </c>
      <c r="E12" t="s">
        <v>228</v>
      </c>
      <c r="F12" t="s">
        <v>247</v>
      </c>
    </row>
    <row r="13" spans="1:8">
      <c r="A13" t="s">
        <v>78</v>
      </c>
      <c r="B13" t="s">
        <v>78</v>
      </c>
      <c r="C13" t="s">
        <v>182</v>
      </c>
      <c r="D13" t="s">
        <v>181</v>
      </c>
      <c r="E13" t="s">
        <v>228</v>
      </c>
      <c r="F13" t="s">
        <v>248</v>
      </c>
    </row>
    <row r="14" spans="1:8">
      <c r="A14" t="s">
        <v>81</v>
      </c>
      <c r="B14" t="s">
        <v>81</v>
      </c>
      <c r="C14" t="s">
        <v>184</v>
      </c>
      <c r="D14" t="s">
        <v>183</v>
      </c>
      <c r="E14" t="s">
        <v>228</v>
      </c>
      <c r="F14" t="s">
        <v>249</v>
      </c>
    </row>
    <row r="15" spans="1:8">
      <c r="A15" t="s">
        <v>83</v>
      </c>
      <c r="B15" t="s">
        <v>83</v>
      </c>
      <c r="C15" t="s">
        <v>186</v>
      </c>
      <c r="D15" t="s">
        <v>185</v>
      </c>
      <c r="E15" t="s">
        <v>228</v>
      </c>
      <c r="F15" t="s">
        <v>250</v>
      </c>
    </row>
    <row r="16" spans="1:8">
      <c r="A16" t="s">
        <v>86</v>
      </c>
      <c r="B16" t="s">
        <v>86</v>
      </c>
      <c r="C16" t="s">
        <v>188</v>
      </c>
      <c r="D16" t="s">
        <v>187</v>
      </c>
      <c r="E16" t="s">
        <v>228</v>
      </c>
      <c r="F16" t="s">
        <v>251</v>
      </c>
    </row>
    <row r="17" spans="1:6">
      <c r="A17" t="s">
        <v>88</v>
      </c>
      <c r="B17" t="s">
        <v>88</v>
      </c>
      <c r="C17" t="s">
        <v>190</v>
      </c>
      <c r="D17" t="s">
        <v>189</v>
      </c>
      <c r="E17" t="s">
        <v>228</v>
      </c>
      <c r="F17" t="s">
        <v>252</v>
      </c>
    </row>
    <row r="18" spans="1:6">
      <c r="A18" t="s">
        <v>91</v>
      </c>
      <c r="B18" t="s">
        <v>91</v>
      </c>
      <c r="C18" t="s">
        <v>192</v>
      </c>
      <c r="D18" t="s">
        <v>191</v>
      </c>
      <c r="E18" t="s">
        <v>228</v>
      </c>
      <c r="F18" t="s">
        <v>253</v>
      </c>
    </row>
    <row r="19" spans="1:6">
      <c r="A19" t="s">
        <v>94</v>
      </c>
      <c r="B19" t="s">
        <v>94</v>
      </c>
      <c r="C19" t="s">
        <v>194</v>
      </c>
      <c r="D19" t="s">
        <v>193</v>
      </c>
      <c r="E19" t="s">
        <v>228</v>
      </c>
      <c r="F19" t="s">
        <v>254</v>
      </c>
    </row>
    <row r="20" spans="1:6">
      <c r="A20" t="s">
        <v>96</v>
      </c>
      <c r="B20" t="s">
        <v>96</v>
      </c>
      <c r="C20" t="s">
        <v>196</v>
      </c>
      <c r="D20" t="s">
        <v>195</v>
      </c>
      <c r="E20" t="s">
        <v>228</v>
      </c>
      <c r="F20" t="s">
        <v>255</v>
      </c>
    </row>
    <row r="21" spans="1:6">
      <c r="A21" t="s">
        <v>99</v>
      </c>
      <c r="B21" t="s">
        <v>99</v>
      </c>
      <c r="C21" t="s">
        <v>198</v>
      </c>
      <c r="D21" t="s">
        <v>197</v>
      </c>
      <c r="E21" t="s">
        <v>228</v>
      </c>
      <c r="F21" t="s">
        <v>256</v>
      </c>
    </row>
    <row r="22" spans="1:6">
      <c r="A22" t="s">
        <v>101</v>
      </c>
      <c r="B22" t="s">
        <v>101</v>
      </c>
      <c r="C22" t="s">
        <v>200</v>
      </c>
      <c r="D22" t="s">
        <v>199</v>
      </c>
      <c r="E22" t="s">
        <v>228</v>
      </c>
      <c r="F22" t="s">
        <v>257</v>
      </c>
    </row>
    <row r="23" spans="1:6">
      <c r="A23" t="s">
        <v>104</v>
      </c>
      <c r="B23" t="s">
        <v>104</v>
      </c>
      <c r="C23" t="s">
        <v>202</v>
      </c>
      <c r="D23" t="s">
        <v>201</v>
      </c>
      <c r="E23" t="s">
        <v>228</v>
      </c>
      <c r="F23" t="s">
        <v>258</v>
      </c>
    </row>
    <row r="24" spans="1:6">
      <c r="A24" t="s">
        <v>106</v>
      </c>
      <c r="B24" t="s">
        <v>106</v>
      </c>
      <c r="C24" t="s">
        <v>204</v>
      </c>
      <c r="D24" t="s">
        <v>203</v>
      </c>
      <c r="E24" t="s">
        <v>228</v>
      </c>
      <c r="F24" t="s">
        <v>259</v>
      </c>
    </row>
    <row r="25" spans="1:6">
      <c r="A25" t="s">
        <v>108</v>
      </c>
      <c r="B25" t="s">
        <v>108</v>
      </c>
      <c r="C25" t="s">
        <v>206</v>
      </c>
      <c r="D25" t="s">
        <v>205</v>
      </c>
      <c r="E25" t="s">
        <v>228</v>
      </c>
      <c r="F25" t="s">
        <v>260</v>
      </c>
    </row>
    <row r="26" spans="1:6">
      <c r="A26" t="s">
        <v>110</v>
      </c>
      <c r="B26" t="s">
        <v>110</v>
      </c>
      <c r="C26" t="s">
        <v>208</v>
      </c>
      <c r="D26" t="s">
        <v>207</v>
      </c>
      <c r="E26" t="s">
        <v>228</v>
      </c>
      <c r="F26" t="s">
        <v>261</v>
      </c>
    </row>
    <row r="27" spans="1:6">
      <c r="A27" t="s">
        <v>112</v>
      </c>
      <c r="B27" t="s">
        <v>112</v>
      </c>
      <c r="C27" t="s">
        <v>210</v>
      </c>
      <c r="D27" t="s">
        <v>209</v>
      </c>
      <c r="E27" t="s">
        <v>228</v>
      </c>
      <c r="F27" t="s">
        <v>262</v>
      </c>
    </row>
    <row r="28" spans="1:6">
      <c r="A28" t="s">
        <v>114</v>
      </c>
      <c r="B28" t="s">
        <v>114</v>
      </c>
      <c r="C28" t="s">
        <v>212</v>
      </c>
      <c r="D28" t="s">
        <v>211</v>
      </c>
      <c r="E28" t="s">
        <v>228</v>
      </c>
      <c r="F28" t="s">
        <v>263</v>
      </c>
    </row>
    <row r="29" spans="1:6">
      <c r="A29" t="s">
        <v>117</v>
      </c>
      <c r="B29" t="s">
        <v>117</v>
      </c>
      <c r="C29" t="s">
        <v>214</v>
      </c>
      <c r="D29" t="s">
        <v>213</v>
      </c>
      <c r="E29" t="s">
        <v>228</v>
      </c>
      <c r="F29" t="s">
        <v>264</v>
      </c>
    </row>
  </sheetData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MEP</vt:lpstr>
      <vt:lpstr>bess</vt:lpstr>
      <vt:lpstr>结构数据</vt:lpstr>
      <vt:lpstr>NOCV</vt:lpstr>
      <vt:lpstr>AIM</vt:lpstr>
      <vt:lpstr>NBO</vt:lpstr>
      <vt:lpstr>EDA</vt:lpstr>
      <vt:lpstr>NBO主表</vt:lpstr>
      <vt:lpstr>编号对照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笑吉 周</cp:lastModifiedBy>
  <dcterms:created xsi:type="dcterms:W3CDTF">2026-10-16T07:18:43Z</dcterms:created>
  <dcterms:modified xsi:type="dcterms:W3CDTF">2026-10-16T07:18:43Z</dcterms:modified>
</cp:coreProperties>
</file>